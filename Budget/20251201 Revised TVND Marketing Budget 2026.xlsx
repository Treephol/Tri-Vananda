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tarahospitality-my.sharepoint.com/personal/treephol_t_trivananda_com/Documents/Budget/"/>
    </mc:Choice>
  </mc:AlternateContent>
  <xr:revisionPtr revIDLastSave="1003" documentId="8_{0FC29DA3-5F94-4EEE-9D95-93E361F52629}" xr6:coauthVersionLast="47" xr6:coauthVersionMax="47" xr10:uidLastSave="{B3702C1C-8624-CD47-A4A5-CFF1E7F546B0}"/>
  <bookViews>
    <workbookView xWindow="0" yWindow="740" windowWidth="29400" windowHeight="18380" xr2:uid="{B690F904-5D78-4944-B2E7-B87D48C0F25B}"/>
  </bookViews>
  <sheets>
    <sheet name="Marketing Budge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7" i="3" l="1"/>
  <c r="AB30" i="3"/>
  <c r="AZ38" i="3"/>
  <c r="AZ48" i="3"/>
  <c r="AV40" i="3"/>
  <c r="AR40" i="3"/>
  <c r="AN40" i="3"/>
  <c r="AJ40" i="3"/>
  <c r="AF40" i="3"/>
  <c r="D40" i="3"/>
  <c r="H40" i="3"/>
  <c r="L40" i="3"/>
  <c r="P40" i="3"/>
  <c r="T40" i="3"/>
  <c r="X40" i="3"/>
  <c r="AB40" i="3"/>
  <c r="AV19" i="3"/>
  <c r="AZ34" i="3"/>
  <c r="AZ33" i="3"/>
  <c r="AZ32" i="3"/>
  <c r="AZ36" i="3"/>
  <c r="AZ35" i="3"/>
  <c r="AZ29" i="3"/>
  <c r="AZ28" i="3"/>
  <c r="AZ27" i="3"/>
  <c r="AZ26" i="3"/>
  <c r="AV25" i="3"/>
  <c r="AR25" i="3"/>
  <c r="AN25" i="3"/>
  <c r="AJ25" i="3"/>
  <c r="AF25" i="3"/>
  <c r="AB25" i="3"/>
  <c r="X25" i="3"/>
  <c r="T25" i="3"/>
  <c r="P25" i="3"/>
  <c r="L25" i="3"/>
  <c r="H25" i="3"/>
  <c r="D25" i="3"/>
  <c r="AZ31" i="3"/>
  <c r="AZ37" i="3"/>
  <c r="AZ21" i="3"/>
  <c r="AZ22" i="3"/>
  <c r="AV15" i="3"/>
  <c r="AR15" i="3"/>
  <c r="AN15" i="3"/>
  <c r="AJ15" i="3"/>
  <c r="AF15" i="3"/>
  <c r="AB15" i="3"/>
  <c r="X15" i="3"/>
  <c r="T15" i="3"/>
  <c r="P15" i="3"/>
  <c r="L15" i="3"/>
  <c r="H15" i="3"/>
  <c r="D15" i="3"/>
  <c r="AZ14" i="3"/>
  <c r="AZ39" i="3" l="1"/>
  <c r="AZ25" i="3"/>
  <c r="AZ17" i="3"/>
  <c r="AZ41" i="3" l="1"/>
  <c r="AZ16" i="3"/>
  <c r="AZ15" i="3" s="1"/>
  <c r="AZ85" i="3"/>
  <c r="AZ84" i="3"/>
  <c r="AZ83" i="3"/>
  <c r="AZ82" i="3"/>
  <c r="AZ81" i="3"/>
  <c r="AZ80" i="3"/>
  <c r="AZ79" i="3"/>
  <c r="AZ78" i="3"/>
  <c r="AZ77" i="3"/>
  <c r="AZ76" i="3"/>
  <c r="AZ75" i="3"/>
  <c r="AZ74" i="3"/>
  <c r="AZ73" i="3"/>
  <c r="AZ50" i="3"/>
  <c r="AV50" i="3"/>
  <c r="AR50" i="3"/>
  <c r="AN50" i="3"/>
  <c r="AJ50" i="3"/>
  <c r="AF50" i="3"/>
  <c r="AB50" i="3"/>
  <c r="X50" i="3"/>
  <c r="T50" i="3"/>
  <c r="P50" i="3"/>
  <c r="L50" i="3"/>
  <c r="H50" i="3"/>
  <c r="D50" i="3"/>
  <c r="AZ47" i="3"/>
  <c r="AZ46" i="3"/>
  <c r="AZ45" i="3"/>
  <c r="AZ43" i="3"/>
  <c r="AZ42" i="3"/>
  <c r="AV30" i="3"/>
  <c r="AV18" i="3" s="1"/>
  <c r="AR30" i="3"/>
  <c r="AN30" i="3"/>
  <c r="AJ30" i="3"/>
  <c r="AF30" i="3"/>
  <c r="X30" i="3"/>
  <c r="T30" i="3"/>
  <c r="P30" i="3"/>
  <c r="L30" i="3"/>
  <c r="H30" i="3"/>
  <c r="D30" i="3"/>
  <c r="AZ24" i="3"/>
  <c r="AZ23" i="3"/>
  <c r="AZ20" i="3"/>
  <c r="AR19" i="3"/>
  <c r="AN19" i="3"/>
  <c r="AJ19" i="3"/>
  <c r="AF19" i="3"/>
  <c r="AB19" i="3"/>
  <c r="AB18" i="3" s="1"/>
  <c r="X19" i="3"/>
  <c r="T19" i="3"/>
  <c r="P19" i="3"/>
  <c r="L19" i="3"/>
  <c r="H19" i="3"/>
  <c r="D19" i="3"/>
  <c r="AZ13" i="3"/>
  <c r="AZ12" i="3"/>
  <c r="AV11" i="3"/>
  <c r="AR11" i="3"/>
  <c r="AN11" i="3"/>
  <c r="AJ11" i="3"/>
  <c r="AF11" i="3"/>
  <c r="AB11" i="3"/>
  <c r="AB10" i="3" s="1"/>
  <c r="X11" i="3"/>
  <c r="T11" i="3"/>
  <c r="P11" i="3"/>
  <c r="L11" i="3"/>
  <c r="H11" i="3"/>
  <c r="D11" i="3"/>
  <c r="AZ9" i="3"/>
  <c r="AV8" i="3"/>
  <c r="AR8" i="3"/>
  <c r="AN8" i="3"/>
  <c r="AJ8" i="3"/>
  <c r="AF8" i="3"/>
  <c r="AB8" i="3"/>
  <c r="X8" i="3"/>
  <c r="T8" i="3"/>
  <c r="P8" i="3"/>
  <c r="L8" i="3"/>
  <c r="H8" i="3"/>
  <c r="D8" i="3"/>
  <c r="AZ5" i="3"/>
  <c r="AZ4" i="3"/>
  <c r="L18" i="3" l="1"/>
  <c r="AF18" i="3"/>
  <c r="AJ18" i="3"/>
  <c r="AZ40" i="3"/>
  <c r="D18" i="3"/>
  <c r="AN18" i="3"/>
  <c r="AR18" i="3"/>
  <c r="P18" i="3"/>
  <c r="H18" i="3"/>
  <c r="T18" i="3"/>
  <c r="X18" i="3"/>
  <c r="T10" i="3"/>
  <c r="L10" i="3"/>
  <c r="AR10" i="3"/>
  <c r="AJ10" i="3"/>
  <c r="AN49" i="3"/>
  <c r="AN44" i="3" s="1"/>
  <c r="H49" i="3"/>
  <c r="H44" i="3" s="1"/>
  <c r="AV10" i="3"/>
  <c r="X10" i="3"/>
  <c r="AJ49" i="3"/>
  <c r="AJ44" i="3" s="1"/>
  <c r="P10" i="3"/>
  <c r="H10" i="3"/>
  <c r="AN10" i="3"/>
  <c r="AF49" i="3"/>
  <c r="AF44" i="3" s="1"/>
  <c r="L49" i="3"/>
  <c r="L44" i="3" s="1"/>
  <c r="AR49" i="3"/>
  <c r="AR44" i="3" s="1"/>
  <c r="AB49" i="3"/>
  <c r="AB44" i="3" s="1"/>
  <c r="AB7" i="3" s="1"/>
  <c r="P49" i="3"/>
  <c r="P44" i="3" s="1"/>
  <c r="AF10" i="3"/>
  <c r="T49" i="3"/>
  <c r="T44" i="3" s="1"/>
  <c r="X49" i="3"/>
  <c r="X44" i="3" s="1"/>
  <c r="AZ11" i="3"/>
  <c r="AZ30" i="3"/>
  <c r="AZ8" i="3"/>
  <c r="D10" i="3"/>
  <c r="AZ19" i="3"/>
  <c r="AJ7" i="3" l="1"/>
  <c r="AZ18" i="3"/>
  <c r="X7" i="3"/>
  <c r="X72" i="3" s="1"/>
  <c r="T7" i="3"/>
  <c r="T72" i="3" s="1"/>
  <c r="AR7" i="3"/>
  <c r="AR72" i="3" s="1"/>
  <c r="L7" i="3"/>
  <c r="L72" i="3" s="1"/>
  <c r="AB72" i="3"/>
  <c r="AN7" i="3"/>
  <c r="AN72" i="3" s="1"/>
  <c r="H7" i="3"/>
  <c r="H72" i="3" s="1"/>
  <c r="AF7" i="3"/>
  <c r="AF72" i="3" s="1"/>
  <c r="AV49" i="3"/>
  <c r="AV44" i="3" s="1"/>
  <c r="AV7" i="3" s="1"/>
  <c r="P7" i="3"/>
  <c r="P72" i="3" s="1"/>
  <c r="AJ72" i="3"/>
  <c r="AZ10" i="3"/>
  <c r="D49" i="3"/>
  <c r="D44" i="3" l="1"/>
  <c r="AV72" i="3"/>
  <c r="AZ49" i="3"/>
  <c r="AZ44" i="3" l="1"/>
  <c r="D7" i="3"/>
  <c r="AZ7" i="3" s="1"/>
  <c r="AZ6" i="3" s="1"/>
  <c r="BA6" i="3" s="1"/>
  <c r="D72" i="3" l="1"/>
  <c r="AZ72" i="3" l="1"/>
  <c r="BA72" i="3" s="1"/>
</calcChain>
</file>

<file path=xl/sharedStrings.xml><?xml version="1.0" encoding="utf-8"?>
<sst xmlns="http://schemas.openxmlformats.org/spreadsheetml/2006/main" count="99" uniqueCount="89">
  <si>
    <t>TVND budget plan 2025</t>
  </si>
  <si>
    <t>Month</t>
  </si>
  <si>
    <t>Jan</t>
  </si>
  <si>
    <t>Feb</t>
  </si>
  <si>
    <t>Mar</t>
  </si>
  <si>
    <t>Apr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</si>
  <si>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</si>
  <si>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</si>
  <si>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</si>
  <si>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</si>
  <si>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</si>
  <si>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</si>
  <si>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</si>
  <si>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</si>
  <si>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</si>
  <si>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Week</t>
  </si>
  <si>
    <t>Target/unit</t>
  </si>
  <si>
    <t>Target/value</t>
  </si>
  <si>
    <t>Details</t>
  </si>
  <si>
    <t>Total Marketing Expenses</t>
  </si>
  <si>
    <t>of Revenue</t>
  </si>
  <si>
    <t>Others</t>
  </si>
  <si>
    <t>Event</t>
  </si>
  <si>
    <t>Total Sales Expense</t>
  </si>
  <si>
    <t>Agent Event</t>
  </si>
  <si>
    <t>Referral/Community Event</t>
  </si>
  <si>
    <t>Sales Expenses</t>
  </si>
  <si>
    <t>Sales Commission (Agent 4%/Internal 2%)</t>
  </si>
  <si>
    <t>Subscription Fee (Salesforce)</t>
  </si>
  <si>
    <t>Salary &amp; Employee benefits</t>
  </si>
  <si>
    <t>Salary</t>
  </si>
  <si>
    <t>Incentive</t>
  </si>
  <si>
    <t>Social Security Insurance</t>
  </si>
  <si>
    <t>Provident Fund</t>
  </si>
  <si>
    <t>Staff Insurance</t>
  </si>
  <si>
    <t>Government Fee</t>
  </si>
  <si>
    <t>Transfer Fee</t>
  </si>
  <si>
    <t>Entertainment</t>
  </si>
  <si>
    <t>Sales Tools &amp; Subscription fees</t>
  </si>
  <si>
    <t>Equipment Rental</t>
  </si>
  <si>
    <t>Printing &amp; Stationary</t>
  </si>
  <si>
    <t>Telephone &amp; Internet</t>
  </si>
  <si>
    <t>Traveling Expenses</t>
  </si>
  <si>
    <t>Miscellaneous</t>
  </si>
  <si>
    <t>Total Sales and Marketing Expenses</t>
  </si>
  <si>
    <t>-</t>
  </si>
  <si>
    <t>SEEDS — Develop the Next Generation of Champions</t>
  </si>
  <si>
    <t>Personal Training</t>
  </si>
  <si>
    <t>ROOTS — Build Resilience, Alignment &amp; Scalability</t>
  </si>
  <si>
    <t>Local Roots Lifestyle Hub (Trisara)</t>
  </si>
  <si>
    <t>Local Roots Monthly Event (Tri Vananda)</t>
  </si>
  <si>
    <t>Local Roots Pop-Up (Partner Events)</t>
  </si>
  <si>
    <t>2. Clinique La Prairie — Collaboration Series:</t>
  </si>
  <si>
    <t>1. Local Roots — Series of Activations</t>
  </si>
  <si>
    <t>Leverage CLP Health Resort Launch</t>
  </si>
  <si>
    <t>Roadshows at Clinique La Prairie Locations</t>
  </si>
  <si>
    <t>LEAF — Operational Excellence &amp; Value Creation</t>
  </si>
  <si>
    <t>1. PR &amp; Advertising</t>
  </si>
  <si>
    <t>Online Advertising Campaigns</t>
  </si>
  <si>
    <t>Local &amp; International PR Campaigns</t>
  </si>
  <si>
    <t>Media &amp; Influencer Stays</t>
  </si>
  <si>
    <t>Advertorial Collaborations</t>
  </si>
  <si>
    <t>Always-On Content</t>
  </si>
  <si>
    <t>2. Creative Lead &amp; Walk Conversion Journey</t>
  </si>
  <si>
    <t>Quiz or other Online Activities</t>
  </si>
  <si>
    <t>Personalized EDM</t>
  </si>
  <si>
    <t>White Paper</t>
  </si>
  <si>
    <t>Fly-In Package &amp; Daily Pass Programs</t>
  </si>
  <si>
    <t>3. Marketing Collateral Update</t>
  </si>
  <si>
    <t>Branding Refinement</t>
  </si>
  <si>
    <t>Refresh Project Photos</t>
  </si>
  <si>
    <t>Brand Videos</t>
  </si>
  <si>
    <t>New Website</t>
  </si>
  <si>
    <t>Big Logo Signage</t>
  </si>
  <si>
    <t>Coffee Table Book</t>
  </si>
  <si>
    <t>Virtual Tour App</t>
  </si>
  <si>
    <t>Refresh Hoarding</t>
  </si>
  <si>
    <t>BUDS — Innovation &amp; New Concepts</t>
  </si>
  <si>
    <t>1. Community Focus</t>
  </si>
  <si>
    <t>2. Sustainability Focus</t>
  </si>
  <si>
    <t>3. Wellness Focus</t>
  </si>
  <si>
    <t>BLOOMS — Global Accolades &amp; Alliances</t>
  </si>
  <si>
    <t>1. Property</t>
  </si>
  <si>
    <t>2. Marketing</t>
  </si>
  <si>
    <t>3. CLP</t>
  </si>
  <si>
    <t>GLOBAL WELLNESS SUMMIT 2026</t>
  </si>
  <si>
    <t>of Revenue (not including GWS 2026)</t>
  </si>
  <si>
    <t>of Revenue (including GWS 2026)</t>
  </si>
  <si>
    <t>3. CLP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</si>
</sst>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-* #,##0_-;\-* #,##0_-;_-* &quot;-&quot;??_-;_-@_-"/>
    <numFmt numFmtId="167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1"/>
      <color theme="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000000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43" fontId="2" fillId="2" borderId="0" xfId="1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3" fontId="2" fillId="3" borderId="1" xfId="1" applyFont="1" applyFill="1" applyBorder="1" applyAlignment="1">
      <alignment horizontal="center"/>
    </xf>
    <xf numFmtId="9" fontId="2" fillId="0" borderId="0" xfId="2" applyFont="1" applyAlignment="1">
      <alignment horizontal="center"/>
    </xf>
    <xf numFmtId="43" fontId="2" fillId="5" borderId="0" xfId="1" applyFont="1" applyFill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2" borderId="0" xfId="1" applyNumberFormat="1" applyFont="1" applyFill="1" applyAlignment="1">
      <alignment horizontal="center"/>
    </xf>
    <xf numFmtId="164" fontId="2" fillId="0" borderId="0" xfId="1" applyNumberFormat="1" applyFont="1" applyAlignment="1">
      <alignment horizontal="center"/>
    </xf>
    <xf numFmtId="9" fontId="2" fillId="2" borderId="0" xfId="1" applyNumberFormat="1" applyFont="1" applyFill="1" applyAlignment="1">
      <alignment horizontal="center"/>
    </xf>
    <xf numFmtId="164" fontId="2" fillId="5" borderId="0" xfId="1" applyNumberFormat="1" applyFont="1" applyFill="1" applyAlignment="1">
      <alignment horizontal="center"/>
    </xf>
    <xf numFmtId="43" fontId="4" fillId="7" borderId="0" xfId="1" applyFont="1" applyFill="1" applyAlignment="1">
      <alignment horizontal="center"/>
    </xf>
    <xf numFmtId="9" fontId="4" fillId="7" borderId="0" xfId="1" applyNumberFormat="1" applyFont="1" applyFill="1" applyAlignment="1">
      <alignment horizontal="center"/>
    </xf>
    <xf numFmtId="164" fontId="4" fillId="7" borderId="0" xfId="1" applyNumberFormat="1" applyFont="1" applyFill="1" applyAlignment="1">
      <alignment horizontal="center"/>
    </xf>
    <xf numFmtId="164" fontId="4" fillId="0" borderId="0" xfId="1" applyNumberFormat="1" applyFont="1" applyFill="1" applyAlignment="1"/>
    <xf numFmtId="164" fontId="6" fillId="6" borderId="0" xfId="1" applyNumberFormat="1" applyFont="1" applyFill="1" applyAlignment="1">
      <alignment horizontal="center"/>
    </xf>
    <xf numFmtId="10" fontId="3" fillId="0" borderId="0" xfId="2" applyNumberFormat="1" applyFont="1" applyAlignment="1">
      <alignment horizontal="center"/>
    </xf>
    <xf numFmtId="43" fontId="2" fillId="0" borderId="0" xfId="1" applyFont="1" applyAlignment="1">
      <alignment horizontal="left"/>
    </xf>
    <xf numFmtId="43" fontId="6" fillId="4" borderId="0" xfId="1" applyFont="1" applyFill="1" applyAlignment="1">
      <alignment horizontal="center"/>
    </xf>
    <xf numFmtId="43" fontId="2" fillId="0" borderId="0" xfId="1" applyFont="1" applyFill="1" applyAlignment="1">
      <alignment horizontal="center"/>
    </xf>
    <xf numFmtId="43" fontId="7" fillId="0" borderId="0" xfId="1" applyFont="1" applyFill="1" applyAlignment="1">
      <alignment horizontal="center"/>
    </xf>
    <xf numFmtId="164" fontId="7" fillId="0" borderId="0" xfId="1" applyNumberFormat="1" applyFont="1" applyFill="1" applyAlignment="1"/>
    <xf numFmtId="43" fontId="6" fillId="8" borderId="0" xfId="1" applyFont="1" applyFill="1" applyAlignment="1">
      <alignment horizontal="center"/>
    </xf>
    <xf numFmtId="164" fontId="2" fillId="0" borderId="0" xfId="1" applyNumberFormat="1" applyFont="1" applyFill="1" applyAlignment="1"/>
    <xf numFmtId="10" fontId="2" fillId="0" borderId="0" xfId="1" applyNumberFormat="1" applyFont="1" applyFill="1" applyAlignment="1"/>
    <xf numFmtId="165" fontId="2" fillId="0" borderId="0" xfId="0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2" fillId="0" borderId="0" xfId="1" applyNumberFormat="1" applyFont="1" applyFill="1" applyAlignment="1">
      <alignment horizontal="center"/>
    </xf>
    <xf numFmtId="165" fontId="2" fillId="0" borderId="0" xfId="1" applyNumberFormat="1" applyFont="1" applyAlignment="1"/>
    <xf numFmtId="165" fontId="2" fillId="0" borderId="0" xfId="2" applyNumberFormat="1" applyFont="1" applyAlignment="1"/>
    <xf numFmtId="165" fontId="2" fillId="0" borderId="0" xfId="1" applyNumberFormat="1" applyFont="1" applyAlignment="1">
      <alignment horizontal="left"/>
    </xf>
    <xf numFmtId="164" fontId="6" fillId="8" borderId="0" xfId="1" applyNumberFormat="1" applyFont="1" applyFill="1" applyAlignment="1"/>
    <xf numFmtId="164" fontId="6" fillId="0" borderId="0" xfId="1" applyNumberFormat="1" applyFont="1" applyFill="1" applyAlignment="1"/>
    <xf numFmtId="43" fontId="5" fillId="0" borderId="0" xfId="1" applyFont="1" applyFill="1" applyAlignment="1">
      <alignment horizontal="center"/>
    </xf>
    <xf numFmtId="43" fontId="5" fillId="0" borderId="0" xfId="1" applyFont="1" applyAlignment="1">
      <alignment horizontal="center"/>
    </xf>
    <xf numFmtId="164" fontId="6" fillId="4" borderId="0" xfId="1" applyNumberFormat="1" applyFont="1" applyFill="1" applyAlignment="1"/>
    <xf numFmtId="9" fontId="6" fillId="6" borderId="0" xfId="1" applyNumberFormat="1" applyFont="1" applyFill="1" applyAlignment="1">
      <alignment horizontal="center"/>
    </xf>
    <xf numFmtId="164" fontId="4" fillId="7" borderId="0" xfId="1" applyNumberFormat="1" applyFont="1" applyFill="1" applyAlignment="1"/>
    <xf numFmtId="43" fontId="4" fillId="0" borderId="0" xfId="1" applyFont="1" applyFill="1" applyAlignment="1">
      <alignment horizontal="center"/>
    </xf>
    <xf numFmtId="43" fontId="6" fillId="6" borderId="0" xfId="1" applyFont="1" applyFill="1" applyAlignment="1">
      <alignment horizontal="left"/>
    </xf>
    <xf numFmtId="43" fontId="4" fillId="7" borderId="0" xfId="1" applyFont="1" applyFill="1" applyAlignment="1">
      <alignment horizontal="left"/>
    </xf>
    <xf numFmtId="43" fontId="2" fillId="2" borderId="0" xfId="1" applyFont="1" applyFill="1" applyAlignment="1">
      <alignment horizontal="left"/>
    </xf>
    <xf numFmtId="43" fontId="8" fillId="0" borderId="0" xfId="1" applyFont="1" applyFill="1" applyAlignment="1">
      <alignment horizontal="left"/>
    </xf>
    <xf numFmtId="43" fontId="6" fillId="8" borderId="0" xfId="1" applyFont="1" applyFill="1" applyAlignment="1">
      <alignment horizontal="left"/>
    </xf>
    <xf numFmtId="43" fontId="6" fillId="4" borderId="0" xfId="1" applyFont="1" applyFill="1" applyAlignment="1">
      <alignment horizontal="left"/>
    </xf>
    <xf numFmtId="166" fontId="2" fillId="3" borderId="1" xfId="0" applyNumberFormat="1" applyFont="1" applyFill="1" applyBorder="1" applyAlignment="1">
      <alignment horizontal="right"/>
    </xf>
    <xf numFmtId="166" fontId="2" fillId="5" borderId="0" xfId="1" applyNumberFormat="1" applyFont="1" applyFill="1" applyBorder="1" applyAlignment="1">
      <alignment horizontal="right"/>
    </xf>
    <xf numFmtId="166" fontId="2" fillId="0" borderId="0" xfId="1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43" fontId="3" fillId="0" borderId="0" xfId="2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2" fillId="2" borderId="0" xfId="1" applyNumberFormat="1" applyFont="1" applyFill="1" applyAlignment="1">
      <alignment horizontal="center"/>
    </xf>
    <xf numFmtId="0" fontId="2" fillId="2" borderId="0" xfId="1" applyNumberFormat="1" applyFont="1" applyFill="1" applyAlignment="1">
      <alignment horizontal="right"/>
    </xf>
    <xf numFmtId="164" fontId="4" fillId="7" borderId="0" xfId="1" applyNumberFormat="1" applyFont="1" applyFill="1" applyAlignment="1">
      <alignment horizontal="right"/>
    </xf>
    <xf numFmtId="0" fontId="4" fillId="7" borderId="0" xfId="1" applyNumberFormat="1" applyFont="1" applyFill="1" applyAlignment="1">
      <alignment horizontal="right"/>
    </xf>
    <xf numFmtId="166" fontId="6" fillId="4" borderId="0" xfId="1" applyNumberFormat="1" applyFont="1" applyFill="1" applyAlignment="1">
      <alignment horizontal="right"/>
    </xf>
    <xf numFmtId="164" fontId="6" fillId="4" borderId="0" xfId="1" applyNumberFormat="1" applyFont="1" applyFill="1" applyAlignment="1">
      <alignment horizontal="center"/>
    </xf>
    <xf numFmtId="0" fontId="2" fillId="0" borderId="0" xfId="1" applyNumberFormat="1" applyFont="1" applyAlignment="1">
      <alignment horizontal="right"/>
    </xf>
    <xf numFmtId="0" fontId="2" fillId="0" borderId="0" xfId="1" applyNumberFormat="1" applyFont="1" applyAlignment="1">
      <alignment horizontal="right" vertical="center"/>
    </xf>
    <xf numFmtId="164" fontId="2" fillId="0" borderId="0" xfId="1" applyNumberFormat="1" applyFont="1" applyAlignment="1">
      <alignment horizontal="center" vertical="center"/>
    </xf>
    <xf numFmtId="164" fontId="4" fillId="7" borderId="0" xfId="1" applyNumberFormat="1" applyFont="1" applyFill="1" applyAlignment="1">
      <alignment horizontal="center"/>
    </xf>
    <xf numFmtId="164" fontId="2" fillId="0" borderId="0" xfId="1" applyNumberFormat="1" applyFont="1" applyAlignment="1">
      <alignment vertical="center"/>
    </xf>
    <xf numFmtId="0" fontId="2" fillId="0" borderId="0" xfId="1" quotePrefix="1" applyNumberFormat="1" applyFont="1" applyAlignment="1">
      <alignment horizontal="right"/>
    </xf>
    <xf numFmtId="0" fontId="6" fillId="8" borderId="0" xfId="1" applyNumberFormat="1" applyFont="1" applyFill="1" applyAlignment="1">
      <alignment horizontal="right"/>
    </xf>
    <xf numFmtId="164" fontId="6" fillId="8" borderId="0" xfId="1" applyNumberFormat="1" applyFont="1" applyFill="1" applyAlignment="1">
      <alignment horizontal="center"/>
    </xf>
    <xf numFmtId="164" fontId="3" fillId="0" borderId="0" xfId="1" applyNumberFormat="1" applyFont="1" applyFill="1" applyAlignment="1">
      <alignment horizontal="center"/>
    </xf>
    <xf numFmtId="164" fontId="6" fillId="6" borderId="0" xfId="1" applyNumberFormat="1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167" fontId="6" fillId="6" borderId="0" xfId="1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right"/>
    </xf>
    <xf numFmtId="164" fontId="2" fillId="3" borderId="3" xfId="1" applyNumberFormat="1" applyFont="1" applyFill="1" applyBorder="1" applyAlignment="1">
      <alignment horizontal="center"/>
    </xf>
    <xf numFmtId="164" fontId="2" fillId="3" borderId="4" xfId="1" applyNumberFormat="1" applyFont="1" applyFill="1" applyBorder="1" applyAlignment="1">
      <alignment horizontal="center"/>
    </xf>
    <xf numFmtId="164" fontId="2" fillId="3" borderId="2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99CCFF"/>
      <color rgb="FF99FF99"/>
      <color rgb="FF66FF99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13AF-B1A0-45E6-B942-537F2FC2B683}">
  <dimension ref="B2:BF134"/>
  <sheetViews>
    <sheetView tabSelected="1" zoomScale="85" zoomScaleNormal="130" workbookViewId="0">
      <selection activeCell="BA49" sqref="BA49"/>
    </sheetView>
  </sheetViews>
  <sheetFormatPr baseColWidth="10" defaultColWidth="8.83203125" defaultRowHeight="15" x14ac:dyDescent="0.2"/>
  <cols>
    <col min="1" max="1" width="4.5" style="1" customWidth="1"/>
    <col min="2" max="2" width="36.83203125" style="1" customWidth="1"/>
    <col min="3" max="3" width="12.33203125" style="1" bestFit="1" customWidth="1"/>
    <col min="4" max="27" width="3.83203125" style="1" customWidth="1"/>
    <col min="28" max="31" width="4" style="53" customWidth="1"/>
    <col min="32" max="51" width="3.83203125" style="1" customWidth="1"/>
    <col min="52" max="52" width="14.6640625" style="1" customWidth="1"/>
    <col min="53" max="53" width="9.83203125" style="30" customWidth="1"/>
    <col min="54" max="54" width="34.5" style="1" customWidth="1"/>
    <col min="55" max="55" width="7.83203125" style="1" bestFit="1" customWidth="1"/>
    <col min="56" max="56" width="3.5" style="1" bestFit="1" customWidth="1"/>
    <col min="57" max="57" width="6.33203125" style="1" bestFit="1" customWidth="1"/>
    <col min="58" max="59" width="18.1640625" style="1" customWidth="1"/>
    <col min="60" max="16384" width="8.83203125" style="1"/>
  </cols>
  <sheetData>
    <row r="2" spans="2:55" x14ac:dyDescent="0.2">
      <c r="B2" s="74" t="s">
        <v>0</v>
      </c>
      <c r="C2" s="5" t="s">
        <v>1</v>
      </c>
      <c r="D2" s="72" t="s">
        <v>2</v>
      </c>
      <c r="E2" s="72"/>
      <c r="F2" s="72"/>
      <c r="G2" s="72"/>
      <c r="H2" s="72" t="s">
        <v>3</v>
      </c>
      <c r="I2" s="72"/>
      <c r="J2" s="72"/>
      <c r="K2" s="72"/>
      <c r="L2" s="72" t="s">
        <v>4</v>
      </c>
      <c r="M2" s="72"/>
      <c r="N2" s="72"/>
      <c r="O2" s="72"/>
      <c r="P2" s="72" t="s">
        <v>5</v>
      </c>
      <c r="Q2" s="72"/>
      <c r="R2" s="72"/>
      <c r="S2" s="72"/>
      <c r="T2" s="72" t="s">
        <v>6</v>
      </c>
      <c r="U2" s="72"/>
      <c r="V2" s="72"/>
      <c r="W2" s="72"/>
      <c r="X2" s="72" t="s">
        <v>7</v>
      </c>
      <c r="Y2" s="72"/>
      <c r="Z2" s="72"/>
      <c r="AA2" s="72"/>
      <c r="AB2" s="75" t="s">
        <v>8</v>
      </c>
      <c r="AC2" s="75"/>
      <c r="AD2" s="75"/>
      <c r="AE2" s="75"/>
      <c r="AF2" s="72" t="s">
        <v>9</v>
      </c>
      <c r="AG2" s="72"/>
      <c r="AH2" s="72"/>
      <c r="AI2" s="72"/>
      <c r="AJ2" s="72" t="s">
        <v>10</v>
      </c>
      <c r="AK2" s="72"/>
      <c r="AL2" s="72"/>
      <c r="AM2" s="72"/>
      <c r="AN2" s="72" t="s">
        <v>11</v>
      </c>
      <c r="AO2" s="72"/>
      <c r="AP2" s="72"/>
      <c r="AQ2" s="72"/>
      <c r="AR2" s="72" t="s">
        <v>12</v>
      </c>
      <c r="AS2" s="72"/>
      <c r="AT2" s="72"/>
      <c r="AU2" s="72"/>
      <c r="AV2" s="72" t="s">
        <v>13</v>
      </c>
      <c r="AW2" s="72"/>
      <c r="AX2" s="72"/>
      <c r="AY2" s="72"/>
      <c r="AZ2" s="74" t="s">
        <v>14</v>
      </c>
    </row>
    <row r="3" spans="2:55" x14ac:dyDescent="0.2">
      <c r="B3" s="74"/>
      <c r="C3" s="5" t="s">
        <v>15</v>
      </c>
      <c r="D3" s="6">
        <v>1</v>
      </c>
      <c r="E3" s="6">
        <v>2</v>
      </c>
      <c r="F3" s="6">
        <v>3</v>
      </c>
      <c r="G3" s="6">
        <v>4</v>
      </c>
      <c r="H3" s="6">
        <v>1</v>
      </c>
      <c r="I3" s="6">
        <v>2</v>
      </c>
      <c r="J3" s="6">
        <v>3</v>
      </c>
      <c r="K3" s="6">
        <v>4</v>
      </c>
      <c r="L3" s="6">
        <v>1</v>
      </c>
      <c r="M3" s="6">
        <v>2</v>
      </c>
      <c r="N3" s="6">
        <v>3</v>
      </c>
      <c r="O3" s="6">
        <v>4</v>
      </c>
      <c r="P3" s="6">
        <v>1</v>
      </c>
      <c r="Q3" s="6">
        <v>2</v>
      </c>
      <c r="R3" s="6">
        <v>3</v>
      </c>
      <c r="S3" s="6">
        <v>4</v>
      </c>
      <c r="T3" s="6">
        <v>1</v>
      </c>
      <c r="U3" s="6">
        <v>2</v>
      </c>
      <c r="V3" s="6">
        <v>3</v>
      </c>
      <c r="W3" s="6">
        <v>4</v>
      </c>
      <c r="X3" s="6">
        <v>1</v>
      </c>
      <c r="Y3" s="6">
        <v>2</v>
      </c>
      <c r="Z3" s="6">
        <v>3</v>
      </c>
      <c r="AA3" s="6">
        <v>4</v>
      </c>
      <c r="AB3" s="50">
        <v>1</v>
      </c>
      <c r="AC3" s="50">
        <v>2</v>
      </c>
      <c r="AD3" s="50">
        <v>3</v>
      </c>
      <c r="AE3" s="50">
        <v>4</v>
      </c>
      <c r="AF3" s="6">
        <v>1</v>
      </c>
      <c r="AG3" s="6">
        <v>2</v>
      </c>
      <c r="AH3" s="6">
        <v>3</v>
      </c>
      <c r="AI3" s="6">
        <v>4</v>
      </c>
      <c r="AJ3" s="6">
        <v>1</v>
      </c>
      <c r="AK3" s="6">
        <v>2</v>
      </c>
      <c r="AL3" s="6">
        <v>3</v>
      </c>
      <c r="AM3" s="6">
        <v>4</v>
      </c>
      <c r="AN3" s="6">
        <v>1</v>
      </c>
      <c r="AO3" s="6">
        <v>2</v>
      </c>
      <c r="AP3" s="6">
        <v>3</v>
      </c>
      <c r="AQ3" s="6">
        <v>4</v>
      </c>
      <c r="AR3" s="6">
        <v>1</v>
      </c>
      <c r="AS3" s="6">
        <v>2</v>
      </c>
      <c r="AT3" s="6">
        <v>3</v>
      </c>
      <c r="AU3" s="6">
        <v>4</v>
      </c>
      <c r="AV3" s="6">
        <v>1</v>
      </c>
      <c r="AW3" s="6">
        <v>2</v>
      </c>
      <c r="AX3" s="6">
        <v>3</v>
      </c>
      <c r="AY3" s="6">
        <v>4</v>
      </c>
      <c r="AZ3" s="74"/>
    </row>
    <row r="4" spans="2:55" x14ac:dyDescent="0.2">
      <c r="B4" s="74"/>
      <c r="C4" s="6" t="s">
        <v>16</v>
      </c>
      <c r="D4" s="72">
        <v>1</v>
      </c>
      <c r="E4" s="72"/>
      <c r="F4" s="72"/>
      <c r="G4" s="72"/>
      <c r="H4" s="72">
        <v>1</v>
      </c>
      <c r="I4" s="72"/>
      <c r="J4" s="72"/>
      <c r="K4" s="72"/>
      <c r="L4" s="72">
        <v>1</v>
      </c>
      <c r="M4" s="72"/>
      <c r="N4" s="72"/>
      <c r="O4" s="72"/>
      <c r="P4" s="72">
        <v>1</v>
      </c>
      <c r="Q4" s="72"/>
      <c r="R4" s="72"/>
      <c r="S4" s="72"/>
      <c r="T4" s="72">
        <v>1</v>
      </c>
      <c r="U4" s="72"/>
      <c r="V4" s="72"/>
      <c r="W4" s="72"/>
      <c r="X4" s="72">
        <v>1</v>
      </c>
      <c r="Y4" s="72"/>
      <c r="Z4" s="72"/>
      <c r="AA4" s="72"/>
      <c r="AB4" s="72">
        <v>1</v>
      </c>
      <c r="AC4" s="72"/>
      <c r="AD4" s="72"/>
      <c r="AE4" s="72"/>
      <c r="AF4" s="72">
        <v>1</v>
      </c>
      <c r="AG4" s="72"/>
      <c r="AH4" s="72"/>
      <c r="AI4" s="72"/>
      <c r="AJ4" s="72">
        <v>1</v>
      </c>
      <c r="AK4" s="72"/>
      <c r="AL4" s="72"/>
      <c r="AM4" s="72"/>
      <c r="AN4" s="72">
        <v>1</v>
      </c>
      <c r="AO4" s="72"/>
      <c r="AP4" s="72"/>
      <c r="AQ4" s="72"/>
      <c r="AR4" s="72">
        <v>1</v>
      </c>
      <c r="AS4" s="72"/>
      <c r="AT4" s="72"/>
      <c r="AU4" s="72"/>
      <c r="AV4" s="72">
        <v>1</v>
      </c>
      <c r="AW4" s="72"/>
      <c r="AX4" s="72"/>
      <c r="AY4" s="72"/>
      <c r="AZ4" s="4">
        <f>SUM(D4:AY4)</f>
        <v>12</v>
      </c>
    </row>
    <row r="5" spans="2:55" s="2" customFormat="1" x14ac:dyDescent="0.2">
      <c r="B5" s="74"/>
      <c r="C5" s="7" t="s">
        <v>17</v>
      </c>
      <c r="D5" s="76">
        <v>83333333</v>
      </c>
      <c r="E5" s="77"/>
      <c r="F5" s="77"/>
      <c r="G5" s="78"/>
      <c r="H5" s="76">
        <v>83333333</v>
      </c>
      <c r="I5" s="77"/>
      <c r="J5" s="77"/>
      <c r="K5" s="78"/>
      <c r="L5" s="76">
        <v>83333333</v>
      </c>
      <c r="M5" s="77"/>
      <c r="N5" s="77"/>
      <c r="O5" s="78"/>
      <c r="P5" s="76">
        <v>83333333</v>
      </c>
      <c r="Q5" s="77"/>
      <c r="R5" s="77"/>
      <c r="S5" s="78"/>
      <c r="T5" s="76">
        <v>83333333</v>
      </c>
      <c r="U5" s="77"/>
      <c r="V5" s="77"/>
      <c r="W5" s="78"/>
      <c r="X5" s="76">
        <v>83333333</v>
      </c>
      <c r="Y5" s="77"/>
      <c r="Z5" s="77"/>
      <c r="AA5" s="78"/>
      <c r="AB5" s="76">
        <v>83333333</v>
      </c>
      <c r="AC5" s="77"/>
      <c r="AD5" s="77"/>
      <c r="AE5" s="78"/>
      <c r="AF5" s="76">
        <v>83333333</v>
      </c>
      <c r="AG5" s="77"/>
      <c r="AH5" s="77"/>
      <c r="AI5" s="78"/>
      <c r="AJ5" s="76">
        <v>83333333</v>
      </c>
      <c r="AK5" s="77"/>
      <c r="AL5" s="77"/>
      <c r="AM5" s="78"/>
      <c r="AN5" s="76">
        <v>83333333</v>
      </c>
      <c r="AO5" s="77"/>
      <c r="AP5" s="77"/>
      <c r="AQ5" s="78"/>
      <c r="AR5" s="76">
        <v>83333333</v>
      </c>
      <c r="AS5" s="77"/>
      <c r="AT5" s="77"/>
      <c r="AU5" s="78"/>
      <c r="AV5" s="76">
        <v>83333337</v>
      </c>
      <c r="AW5" s="77"/>
      <c r="AX5" s="77"/>
      <c r="AY5" s="78"/>
      <c r="AZ5" s="10">
        <f>SUM(D5:AV5)</f>
        <v>1000000000</v>
      </c>
      <c r="BA5" s="31"/>
    </row>
    <row r="6" spans="2:55" s="2" customFormat="1" x14ac:dyDescent="0.2">
      <c r="B6" s="9" t="s">
        <v>18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51"/>
      <c r="AC6" s="51"/>
      <c r="AD6" s="51"/>
      <c r="AE6" s="5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5">
        <f>AZ7-7000000</f>
        <v>20000000</v>
      </c>
      <c r="BA6" s="21">
        <f>AZ6/AZ5</f>
        <v>0.02</v>
      </c>
      <c r="BB6" s="26" t="s">
        <v>86</v>
      </c>
    </row>
    <row r="7" spans="2:55" s="2" customFormat="1" x14ac:dyDescent="0.2">
      <c r="B7" s="44" t="s">
        <v>19</v>
      </c>
      <c r="C7" s="41"/>
      <c r="D7" s="71">
        <f>D8+D10+D18+D40+D44</f>
        <v>1120000</v>
      </c>
      <c r="E7" s="71"/>
      <c r="F7" s="71"/>
      <c r="G7" s="71"/>
      <c r="H7" s="71">
        <f>H8+H10+H18+H40+H44</f>
        <v>920000</v>
      </c>
      <c r="I7" s="71"/>
      <c r="J7" s="71"/>
      <c r="K7" s="71"/>
      <c r="L7" s="71">
        <f>L8+L10+L18+L40+L44</f>
        <v>1920000</v>
      </c>
      <c r="M7" s="71"/>
      <c r="N7" s="71"/>
      <c r="O7" s="71"/>
      <c r="P7" s="71">
        <f>P8+P10+P18+P40+P44</f>
        <v>1170000</v>
      </c>
      <c r="Q7" s="71"/>
      <c r="R7" s="71"/>
      <c r="S7" s="71"/>
      <c r="T7" s="71">
        <f>T8+T10+T18+T40+T44</f>
        <v>1220000</v>
      </c>
      <c r="U7" s="71"/>
      <c r="V7" s="71"/>
      <c r="W7" s="71"/>
      <c r="X7" s="71">
        <f>X8+X10+X18+X40+X44</f>
        <v>1870000</v>
      </c>
      <c r="Y7" s="71"/>
      <c r="Z7" s="71"/>
      <c r="AA7" s="71"/>
      <c r="AB7" s="73">
        <f>AB8+AB10+AB18+AB40+AB44</f>
        <v>1645000</v>
      </c>
      <c r="AC7" s="73"/>
      <c r="AD7" s="73"/>
      <c r="AE7" s="73"/>
      <c r="AF7" s="71">
        <f>AF8+AF10+AF18+AF40+AF44</f>
        <v>1045000</v>
      </c>
      <c r="AG7" s="71"/>
      <c r="AH7" s="71"/>
      <c r="AI7" s="71"/>
      <c r="AJ7" s="71">
        <f>AJ8+AJ10+AJ18+AJ40+AJ44</f>
        <v>1795000</v>
      </c>
      <c r="AK7" s="71"/>
      <c r="AL7" s="71"/>
      <c r="AM7" s="71"/>
      <c r="AN7" s="71">
        <f>AN8+AN10+AN18+AN40+AN44</f>
        <v>5195000</v>
      </c>
      <c r="AO7" s="71"/>
      <c r="AP7" s="71"/>
      <c r="AQ7" s="71"/>
      <c r="AR7" s="71">
        <f>AR8+AR10+AR18+AR40+AR44</f>
        <v>8095000</v>
      </c>
      <c r="AS7" s="71"/>
      <c r="AT7" s="71"/>
      <c r="AU7" s="71"/>
      <c r="AV7" s="71">
        <f>AV8+AV10+AV18+AV40+AV44</f>
        <v>1005000</v>
      </c>
      <c r="AW7" s="71"/>
      <c r="AX7" s="71"/>
      <c r="AY7" s="71"/>
      <c r="AZ7" s="20">
        <f>SUM(D7:AY7)</f>
        <v>27000000</v>
      </c>
      <c r="BA7" s="21">
        <f>AZ7/AZ5</f>
        <v>2.7E-2</v>
      </c>
      <c r="BB7" s="26" t="s">
        <v>87</v>
      </c>
      <c r="BC7" s="19"/>
    </row>
    <row r="8" spans="2:55" s="25" customFormat="1" x14ac:dyDescent="0.2">
      <c r="B8" s="45" t="s">
        <v>46</v>
      </c>
      <c r="C8" s="17"/>
      <c r="D8" s="65">
        <f>SUM(D9:G9)</f>
        <v>20000</v>
      </c>
      <c r="E8" s="65"/>
      <c r="F8" s="65"/>
      <c r="G8" s="65"/>
      <c r="H8" s="65">
        <f>SUM(H9:K9)</f>
        <v>20000</v>
      </c>
      <c r="I8" s="65"/>
      <c r="J8" s="65"/>
      <c r="K8" s="65"/>
      <c r="L8" s="65">
        <f>SUM(L9:O9)</f>
        <v>20000</v>
      </c>
      <c r="M8" s="65"/>
      <c r="N8" s="65"/>
      <c r="O8" s="65"/>
      <c r="P8" s="65">
        <f>SUM(P9:S9)</f>
        <v>20000</v>
      </c>
      <c r="Q8" s="65"/>
      <c r="R8" s="65"/>
      <c r="S8" s="65"/>
      <c r="T8" s="65">
        <f>SUM(T9:W9)</f>
        <v>20000</v>
      </c>
      <c r="U8" s="65"/>
      <c r="V8" s="65"/>
      <c r="W8" s="65"/>
      <c r="X8" s="65">
        <f>SUM(X9:AA9)</f>
        <v>20000</v>
      </c>
      <c r="Y8" s="65"/>
      <c r="Z8" s="65"/>
      <c r="AA8" s="65"/>
      <c r="AB8" s="59">
        <f>SUM(AB9:AE9)</f>
        <v>20000</v>
      </c>
      <c r="AC8" s="59"/>
      <c r="AD8" s="59"/>
      <c r="AE8" s="59"/>
      <c r="AF8" s="65">
        <f>SUM(AF9:AI9)</f>
        <v>20000</v>
      </c>
      <c r="AG8" s="65"/>
      <c r="AH8" s="65"/>
      <c r="AI8" s="65"/>
      <c r="AJ8" s="65">
        <f>SUM(AJ9:AM9)</f>
        <v>20000</v>
      </c>
      <c r="AK8" s="65"/>
      <c r="AL8" s="65"/>
      <c r="AM8" s="65"/>
      <c r="AN8" s="65">
        <f>SUM(AN9:AQ9)</f>
        <v>20000</v>
      </c>
      <c r="AO8" s="65"/>
      <c r="AP8" s="65"/>
      <c r="AQ8" s="65"/>
      <c r="AR8" s="65">
        <f>SUM(AR9:AU9)</f>
        <v>20000</v>
      </c>
      <c r="AS8" s="65"/>
      <c r="AT8" s="65"/>
      <c r="AU8" s="65"/>
      <c r="AV8" s="65">
        <f>SUM(AV9:AY9)</f>
        <v>30000</v>
      </c>
      <c r="AW8" s="65"/>
      <c r="AX8" s="65"/>
      <c r="AY8" s="65"/>
      <c r="AZ8" s="18">
        <f>SUM(D8:AY8)</f>
        <v>250000</v>
      </c>
      <c r="BA8" s="54"/>
    </row>
    <row r="9" spans="2:55" s="2" customFormat="1" x14ac:dyDescent="0.2">
      <c r="B9" s="22" t="s">
        <v>47</v>
      </c>
      <c r="D9" s="55">
        <v>20000</v>
      </c>
      <c r="E9" s="55"/>
      <c r="F9" s="55"/>
      <c r="G9" s="55"/>
      <c r="H9" s="55">
        <v>20000</v>
      </c>
      <c r="I9" s="55"/>
      <c r="J9" s="55"/>
      <c r="K9" s="55"/>
      <c r="L9" s="55">
        <v>20000</v>
      </c>
      <c r="M9" s="55"/>
      <c r="N9" s="55"/>
      <c r="O9" s="55"/>
      <c r="P9" s="55">
        <v>20000</v>
      </c>
      <c r="Q9" s="55"/>
      <c r="R9" s="55"/>
      <c r="S9" s="55"/>
      <c r="T9" s="55">
        <v>20000</v>
      </c>
      <c r="U9" s="55"/>
      <c r="V9" s="55"/>
      <c r="W9" s="55"/>
      <c r="X9" s="55">
        <v>20000</v>
      </c>
      <c r="Y9" s="55"/>
      <c r="Z9" s="55"/>
      <c r="AA9" s="55"/>
      <c r="AB9" s="55">
        <v>20000</v>
      </c>
      <c r="AC9" s="55"/>
      <c r="AD9" s="55"/>
      <c r="AE9" s="55"/>
      <c r="AF9" s="55">
        <v>20000</v>
      </c>
      <c r="AG9" s="55"/>
      <c r="AH9" s="55"/>
      <c r="AI9" s="55"/>
      <c r="AJ9" s="55">
        <v>20000</v>
      </c>
      <c r="AK9" s="55"/>
      <c r="AL9" s="55"/>
      <c r="AM9" s="55"/>
      <c r="AN9" s="55">
        <v>20000</v>
      </c>
      <c r="AO9" s="55"/>
      <c r="AP9" s="55"/>
      <c r="AQ9" s="55"/>
      <c r="AR9" s="55">
        <v>20000</v>
      </c>
      <c r="AS9" s="55"/>
      <c r="AT9" s="55"/>
      <c r="AU9" s="55"/>
      <c r="AV9" s="55">
        <v>30000</v>
      </c>
      <c r="AW9" s="55"/>
      <c r="AX9" s="55"/>
      <c r="AY9" s="55"/>
      <c r="AZ9" s="13">
        <f t="shared" ref="AZ9" si="0">SUM(D9:AY9)</f>
        <v>250000</v>
      </c>
      <c r="BA9" s="31"/>
    </row>
    <row r="10" spans="2:55" s="2" customFormat="1" x14ac:dyDescent="0.2">
      <c r="B10" s="45" t="s">
        <v>48</v>
      </c>
      <c r="C10" s="17"/>
      <c r="D10" s="65">
        <f>D11+D15</f>
        <v>300000</v>
      </c>
      <c r="E10" s="65"/>
      <c r="F10" s="65"/>
      <c r="G10" s="65"/>
      <c r="H10" s="65">
        <f>H11+H15</f>
        <v>300000</v>
      </c>
      <c r="I10" s="65"/>
      <c r="J10" s="65"/>
      <c r="K10" s="65"/>
      <c r="L10" s="65">
        <f>L11+L15</f>
        <v>300000</v>
      </c>
      <c r="M10" s="65"/>
      <c r="N10" s="65"/>
      <c r="O10" s="65"/>
      <c r="P10" s="65">
        <f>P11+P15</f>
        <v>200000</v>
      </c>
      <c r="Q10" s="65"/>
      <c r="R10" s="65"/>
      <c r="S10" s="65"/>
      <c r="T10" s="65">
        <f>T11+T15</f>
        <v>200000</v>
      </c>
      <c r="U10" s="65"/>
      <c r="V10" s="65"/>
      <c r="W10" s="65"/>
      <c r="X10" s="65">
        <f>X11+X15</f>
        <v>200000</v>
      </c>
      <c r="Y10" s="65"/>
      <c r="Z10" s="65"/>
      <c r="AA10" s="65"/>
      <c r="AB10" s="58">
        <f>AB11+AB15</f>
        <v>200000</v>
      </c>
      <c r="AC10" s="58"/>
      <c r="AD10" s="58"/>
      <c r="AE10" s="58"/>
      <c r="AF10" s="65">
        <f>AF11+AF15</f>
        <v>200000</v>
      </c>
      <c r="AG10" s="65"/>
      <c r="AH10" s="65"/>
      <c r="AI10" s="65"/>
      <c r="AJ10" s="65">
        <f>AJ11+AJ15</f>
        <v>250000</v>
      </c>
      <c r="AK10" s="65"/>
      <c r="AL10" s="65"/>
      <c r="AM10" s="65"/>
      <c r="AN10" s="65">
        <f>AN11+AN15</f>
        <v>350000</v>
      </c>
      <c r="AO10" s="65"/>
      <c r="AP10" s="65"/>
      <c r="AQ10" s="65"/>
      <c r="AR10" s="65">
        <f>AR11+AR15</f>
        <v>3350000</v>
      </c>
      <c r="AS10" s="65"/>
      <c r="AT10" s="65"/>
      <c r="AU10" s="65"/>
      <c r="AV10" s="65">
        <f>AV11+AV15</f>
        <v>150000</v>
      </c>
      <c r="AW10" s="65"/>
      <c r="AX10" s="65"/>
      <c r="AY10" s="65"/>
      <c r="AZ10" s="18">
        <f>SUM(D10:AY10)</f>
        <v>6000000</v>
      </c>
      <c r="BA10" s="31"/>
    </row>
    <row r="11" spans="2:55" s="2" customFormat="1" x14ac:dyDescent="0.2">
      <c r="B11" s="46" t="s">
        <v>53</v>
      </c>
      <c r="C11" s="14"/>
      <c r="D11" s="56">
        <f>SUM(D12:D14)</f>
        <v>300000</v>
      </c>
      <c r="E11" s="56"/>
      <c r="F11" s="56"/>
      <c r="G11" s="56"/>
      <c r="H11" s="56">
        <f>SUM(H12:H14)</f>
        <v>300000</v>
      </c>
      <c r="I11" s="56"/>
      <c r="J11" s="56"/>
      <c r="K11" s="56"/>
      <c r="L11" s="56">
        <f>SUM(L12:L14)</f>
        <v>300000</v>
      </c>
      <c r="M11" s="56"/>
      <c r="N11" s="56"/>
      <c r="O11" s="56"/>
      <c r="P11" s="56">
        <f>SUM(P12:P14)</f>
        <v>200000</v>
      </c>
      <c r="Q11" s="56"/>
      <c r="R11" s="56"/>
      <c r="S11" s="56"/>
      <c r="T11" s="56">
        <f>SUM(T12:T14)</f>
        <v>200000</v>
      </c>
      <c r="U11" s="56"/>
      <c r="V11" s="56"/>
      <c r="W11" s="56"/>
      <c r="X11" s="56">
        <f>SUM(X12:X14)</f>
        <v>200000</v>
      </c>
      <c r="Y11" s="56"/>
      <c r="Z11" s="56"/>
      <c r="AA11" s="56"/>
      <c r="AB11" s="57">
        <f>SUM(AB12:AB14)</f>
        <v>200000</v>
      </c>
      <c r="AC11" s="57"/>
      <c r="AD11" s="57"/>
      <c r="AE11" s="57"/>
      <c r="AF11" s="56">
        <f>SUM(AF12:AF14)</f>
        <v>200000</v>
      </c>
      <c r="AG11" s="56"/>
      <c r="AH11" s="56"/>
      <c r="AI11" s="56"/>
      <c r="AJ11" s="56">
        <f>SUM(AJ12:AJ14)</f>
        <v>200000</v>
      </c>
      <c r="AK11" s="56"/>
      <c r="AL11" s="56"/>
      <c r="AM11" s="56"/>
      <c r="AN11" s="56">
        <f>SUM(AN12:AN14)</f>
        <v>300000</v>
      </c>
      <c r="AO11" s="56"/>
      <c r="AP11" s="56"/>
      <c r="AQ11" s="56"/>
      <c r="AR11" s="56">
        <f>SUM(AR12:AR14)</f>
        <v>300000</v>
      </c>
      <c r="AS11" s="56"/>
      <c r="AT11" s="56"/>
      <c r="AU11" s="56"/>
      <c r="AV11" s="56">
        <f>SUM(AV12:AV14)</f>
        <v>100000</v>
      </c>
      <c r="AW11" s="56"/>
      <c r="AX11" s="56"/>
      <c r="AY11" s="56"/>
      <c r="AZ11" s="12">
        <f t="shared" ref="AZ11:AZ13" si="1">SUM(D11:AY11)</f>
        <v>2800000</v>
      </c>
      <c r="BA11" s="31"/>
    </row>
    <row r="12" spans="2:55" s="2" customFormat="1" x14ac:dyDescent="0.2">
      <c r="B12" s="22" t="s">
        <v>49</v>
      </c>
      <c r="C12" s="8"/>
      <c r="D12" s="55">
        <v>0</v>
      </c>
      <c r="E12" s="55"/>
      <c r="F12" s="55"/>
      <c r="G12" s="55"/>
      <c r="H12" s="55">
        <v>0</v>
      </c>
      <c r="I12" s="55"/>
      <c r="J12" s="55"/>
      <c r="K12" s="55"/>
      <c r="L12" s="55">
        <v>0</v>
      </c>
      <c r="M12" s="55"/>
      <c r="N12" s="55"/>
      <c r="O12" s="55"/>
      <c r="P12" s="55">
        <v>0</v>
      </c>
      <c r="Q12" s="55"/>
      <c r="R12" s="55"/>
      <c r="S12" s="55"/>
      <c r="T12" s="55">
        <v>0</v>
      </c>
      <c r="U12" s="55"/>
      <c r="V12" s="55"/>
      <c r="W12" s="55"/>
      <c r="X12" s="55">
        <v>0</v>
      </c>
      <c r="Y12" s="55"/>
      <c r="Z12" s="55"/>
      <c r="AA12" s="55"/>
      <c r="AB12" s="55">
        <v>0</v>
      </c>
      <c r="AC12" s="55"/>
      <c r="AD12" s="55"/>
      <c r="AE12" s="55"/>
      <c r="AF12" s="55">
        <v>0</v>
      </c>
      <c r="AG12" s="55"/>
      <c r="AH12" s="55"/>
      <c r="AI12" s="55"/>
      <c r="AJ12" s="55">
        <v>0</v>
      </c>
      <c r="AK12" s="55"/>
      <c r="AL12" s="55"/>
      <c r="AM12" s="55"/>
      <c r="AN12" s="55">
        <v>0</v>
      </c>
      <c r="AO12" s="55"/>
      <c r="AP12" s="55"/>
      <c r="AQ12" s="55"/>
      <c r="AR12" s="55">
        <v>0</v>
      </c>
      <c r="AS12" s="55"/>
      <c r="AT12" s="55"/>
      <c r="AU12" s="55"/>
      <c r="AV12" s="55">
        <v>0</v>
      </c>
      <c r="AW12" s="55"/>
      <c r="AX12" s="55"/>
      <c r="AY12" s="55"/>
      <c r="AZ12" s="13">
        <f t="shared" si="1"/>
        <v>0</v>
      </c>
      <c r="BA12" s="31"/>
    </row>
    <row r="13" spans="2:55" s="2" customFormat="1" x14ac:dyDescent="0.2">
      <c r="B13" s="22" t="s">
        <v>50</v>
      </c>
      <c r="C13" s="8"/>
      <c r="D13" s="55">
        <v>100000</v>
      </c>
      <c r="E13" s="55"/>
      <c r="F13" s="55"/>
      <c r="G13" s="55"/>
      <c r="H13" s="55">
        <v>100000</v>
      </c>
      <c r="I13" s="55"/>
      <c r="J13" s="55"/>
      <c r="K13" s="55"/>
      <c r="L13" s="55">
        <v>100000</v>
      </c>
      <c r="M13" s="55"/>
      <c r="N13" s="55"/>
      <c r="O13" s="55"/>
      <c r="P13" s="55">
        <v>0</v>
      </c>
      <c r="Q13" s="55"/>
      <c r="R13" s="55"/>
      <c r="S13" s="55"/>
      <c r="T13" s="55">
        <v>0</v>
      </c>
      <c r="U13" s="55"/>
      <c r="V13" s="55"/>
      <c r="W13" s="55"/>
      <c r="X13" s="55">
        <v>0</v>
      </c>
      <c r="Y13" s="55"/>
      <c r="Z13" s="55"/>
      <c r="AA13" s="55"/>
      <c r="AB13" s="55">
        <v>0</v>
      </c>
      <c r="AC13" s="55"/>
      <c r="AD13" s="55"/>
      <c r="AE13" s="55"/>
      <c r="AF13" s="55">
        <v>0</v>
      </c>
      <c r="AG13" s="55"/>
      <c r="AH13" s="55"/>
      <c r="AI13" s="55"/>
      <c r="AJ13" s="55">
        <v>0</v>
      </c>
      <c r="AK13" s="55"/>
      <c r="AL13" s="55"/>
      <c r="AM13" s="55"/>
      <c r="AN13" s="55">
        <v>100000</v>
      </c>
      <c r="AO13" s="55"/>
      <c r="AP13" s="55"/>
      <c r="AQ13" s="55"/>
      <c r="AR13" s="55">
        <v>100000</v>
      </c>
      <c r="AS13" s="55"/>
      <c r="AT13" s="55"/>
      <c r="AU13" s="55"/>
      <c r="AV13" s="55">
        <v>100000</v>
      </c>
      <c r="AW13" s="55"/>
      <c r="AX13" s="55"/>
      <c r="AY13" s="55"/>
      <c r="AZ13" s="13">
        <f t="shared" si="1"/>
        <v>600000</v>
      </c>
      <c r="BA13" s="31"/>
    </row>
    <row r="14" spans="2:55" s="2" customFormat="1" ht="14.5" customHeight="1" x14ac:dyDescent="0.2">
      <c r="B14" s="22" t="s">
        <v>51</v>
      </c>
      <c r="C14" s="8"/>
      <c r="D14" s="55">
        <v>200000</v>
      </c>
      <c r="E14" s="55"/>
      <c r="F14" s="55"/>
      <c r="G14" s="55"/>
      <c r="H14" s="55">
        <v>200000</v>
      </c>
      <c r="I14" s="55"/>
      <c r="J14" s="55"/>
      <c r="K14" s="55"/>
      <c r="L14" s="55">
        <v>200000</v>
      </c>
      <c r="M14" s="55"/>
      <c r="N14" s="55"/>
      <c r="O14" s="55"/>
      <c r="P14" s="55">
        <v>200000</v>
      </c>
      <c r="Q14" s="55"/>
      <c r="R14" s="55"/>
      <c r="S14" s="55"/>
      <c r="T14" s="55">
        <v>200000</v>
      </c>
      <c r="U14" s="55"/>
      <c r="V14" s="55"/>
      <c r="W14" s="55"/>
      <c r="X14" s="55">
        <v>200000</v>
      </c>
      <c r="Y14" s="55"/>
      <c r="Z14" s="55"/>
      <c r="AA14" s="55"/>
      <c r="AB14" s="55">
        <v>200000</v>
      </c>
      <c r="AC14" s="55"/>
      <c r="AD14" s="55"/>
      <c r="AE14" s="55"/>
      <c r="AF14" s="55">
        <v>200000</v>
      </c>
      <c r="AG14" s="55"/>
      <c r="AH14" s="55"/>
      <c r="AI14" s="55"/>
      <c r="AJ14" s="55">
        <v>200000</v>
      </c>
      <c r="AK14" s="55"/>
      <c r="AL14" s="55"/>
      <c r="AM14" s="55"/>
      <c r="AN14" s="55">
        <v>200000</v>
      </c>
      <c r="AO14" s="55"/>
      <c r="AP14" s="55"/>
      <c r="AQ14" s="55"/>
      <c r="AR14" s="55">
        <v>200000</v>
      </c>
      <c r="AS14" s="55"/>
      <c r="AT14" s="55"/>
      <c r="AU14" s="55"/>
      <c r="AV14" s="55">
        <v>0</v>
      </c>
      <c r="AW14" s="55"/>
      <c r="AX14" s="55"/>
      <c r="AY14" s="55"/>
      <c r="AZ14" s="13">
        <f t="shared" ref="AZ14" si="2">SUM(D14:AY14)</f>
        <v>2200000</v>
      </c>
      <c r="BA14" s="31"/>
    </row>
    <row r="15" spans="2:55" s="2" customFormat="1" x14ac:dyDescent="0.2">
      <c r="B15" s="46" t="s">
        <v>52</v>
      </c>
      <c r="C15" s="14"/>
      <c r="D15" s="56">
        <f>SUM(D16+D17)</f>
        <v>0</v>
      </c>
      <c r="E15" s="56"/>
      <c r="F15" s="56"/>
      <c r="G15" s="56"/>
      <c r="H15" s="56">
        <f>SUM(H16+H17)</f>
        <v>0</v>
      </c>
      <c r="I15" s="56"/>
      <c r="J15" s="56"/>
      <c r="K15" s="56"/>
      <c r="L15" s="56">
        <f>SUM(L16+L17)</f>
        <v>0</v>
      </c>
      <c r="M15" s="56"/>
      <c r="N15" s="56"/>
      <c r="O15" s="56"/>
      <c r="P15" s="56">
        <f>SUM(P16+P17)</f>
        <v>0</v>
      </c>
      <c r="Q15" s="56"/>
      <c r="R15" s="56"/>
      <c r="S15" s="56"/>
      <c r="T15" s="56">
        <f>SUM(T16+T17)</f>
        <v>0</v>
      </c>
      <c r="U15" s="56"/>
      <c r="V15" s="56"/>
      <c r="W15" s="56"/>
      <c r="X15" s="56">
        <f>SUM(X16+X17)</f>
        <v>0</v>
      </c>
      <c r="Y15" s="56"/>
      <c r="Z15" s="56"/>
      <c r="AA15" s="56"/>
      <c r="AB15" s="56">
        <f>SUM(AB16+AB17)</f>
        <v>0</v>
      </c>
      <c r="AC15" s="56"/>
      <c r="AD15" s="56"/>
      <c r="AE15" s="56"/>
      <c r="AF15" s="56">
        <f>SUM(AF16+AF17)</f>
        <v>0</v>
      </c>
      <c r="AG15" s="56"/>
      <c r="AH15" s="56"/>
      <c r="AI15" s="56"/>
      <c r="AJ15" s="56">
        <f>SUM(AJ16+AJ17)</f>
        <v>50000</v>
      </c>
      <c r="AK15" s="56"/>
      <c r="AL15" s="56"/>
      <c r="AM15" s="56"/>
      <c r="AN15" s="56">
        <f>SUM(AN16+AN17)</f>
        <v>50000</v>
      </c>
      <c r="AO15" s="56"/>
      <c r="AP15" s="56"/>
      <c r="AQ15" s="56"/>
      <c r="AR15" s="56">
        <f>SUM(AR16+AR17)</f>
        <v>3050000</v>
      </c>
      <c r="AS15" s="56"/>
      <c r="AT15" s="56"/>
      <c r="AU15" s="56"/>
      <c r="AV15" s="56">
        <f>SUM(AV16+AV17)</f>
        <v>50000</v>
      </c>
      <c r="AW15" s="56"/>
      <c r="AX15" s="56"/>
      <c r="AY15" s="56"/>
      <c r="AZ15" s="12">
        <f>SUM(AZ16+AZ17)</f>
        <v>3200000</v>
      </c>
      <c r="BA15" s="31"/>
    </row>
    <row r="16" spans="2:55" s="2" customFormat="1" x14ac:dyDescent="0.2">
      <c r="B16" s="22" t="s">
        <v>54</v>
      </c>
      <c r="C16" s="8"/>
      <c r="D16" s="55">
        <v>0</v>
      </c>
      <c r="E16" s="55"/>
      <c r="F16" s="55"/>
      <c r="G16" s="55"/>
      <c r="H16" s="55">
        <v>0</v>
      </c>
      <c r="I16" s="55"/>
      <c r="J16" s="55"/>
      <c r="K16" s="55"/>
      <c r="L16" s="55">
        <v>0</v>
      </c>
      <c r="M16" s="55"/>
      <c r="N16" s="55"/>
      <c r="O16" s="55"/>
      <c r="P16" s="55">
        <v>0</v>
      </c>
      <c r="Q16" s="55"/>
      <c r="R16" s="55"/>
      <c r="S16" s="55"/>
      <c r="T16" s="55">
        <v>0</v>
      </c>
      <c r="U16" s="55"/>
      <c r="V16" s="55"/>
      <c r="W16" s="55"/>
      <c r="X16" s="55">
        <v>0</v>
      </c>
      <c r="Y16" s="55"/>
      <c r="Z16" s="55"/>
      <c r="AA16" s="55"/>
      <c r="AB16" s="55">
        <v>0</v>
      </c>
      <c r="AC16" s="55"/>
      <c r="AD16" s="55"/>
      <c r="AE16" s="55"/>
      <c r="AF16" s="55">
        <v>0</v>
      </c>
      <c r="AG16" s="55"/>
      <c r="AH16" s="55"/>
      <c r="AI16" s="55"/>
      <c r="AJ16" s="55">
        <v>50000</v>
      </c>
      <c r="AK16" s="55"/>
      <c r="AL16" s="55"/>
      <c r="AM16" s="55"/>
      <c r="AN16" s="55">
        <v>50000</v>
      </c>
      <c r="AO16" s="55"/>
      <c r="AP16" s="55"/>
      <c r="AQ16" s="55"/>
      <c r="AR16" s="55">
        <v>50000</v>
      </c>
      <c r="AS16" s="55"/>
      <c r="AT16" s="55"/>
      <c r="AU16" s="55"/>
      <c r="AV16" s="55">
        <v>50000</v>
      </c>
      <c r="AW16" s="55"/>
      <c r="AX16" s="55"/>
      <c r="AY16" s="55"/>
      <c r="AZ16" s="13">
        <f t="shared" ref="AZ16" si="3">SUM(D16:AY16)</f>
        <v>200000</v>
      </c>
      <c r="BA16" s="31"/>
    </row>
    <row r="17" spans="2:53" s="2" customFormat="1" x14ac:dyDescent="0.2">
      <c r="B17" s="22" t="s">
        <v>55</v>
      </c>
      <c r="C17" s="8"/>
      <c r="D17" s="55">
        <v>0</v>
      </c>
      <c r="E17" s="55"/>
      <c r="F17" s="55"/>
      <c r="G17" s="55"/>
      <c r="H17" s="55">
        <v>0</v>
      </c>
      <c r="I17" s="55"/>
      <c r="J17" s="55"/>
      <c r="K17" s="55"/>
      <c r="L17" s="55">
        <v>0</v>
      </c>
      <c r="M17" s="55"/>
      <c r="N17" s="55"/>
      <c r="O17" s="55"/>
      <c r="P17" s="55">
        <v>0</v>
      </c>
      <c r="Q17" s="55"/>
      <c r="R17" s="55"/>
      <c r="S17" s="55"/>
      <c r="T17" s="55">
        <v>0</v>
      </c>
      <c r="U17" s="55"/>
      <c r="V17" s="55"/>
      <c r="W17" s="55"/>
      <c r="X17" s="55">
        <v>0</v>
      </c>
      <c r="Y17" s="55"/>
      <c r="Z17" s="55"/>
      <c r="AA17" s="55"/>
      <c r="AB17" s="55">
        <v>0</v>
      </c>
      <c r="AC17" s="55"/>
      <c r="AD17" s="55"/>
      <c r="AE17" s="55"/>
      <c r="AF17" s="55">
        <v>0</v>
      </c>
      <c r="AG17" s="55"/>
      <c r="AH17" s="55"/>
      <c r="AI17" s="55"/>
      <c r="AJ17" s="55">
        <v>0</v>
      </c>
      <c r="AK17" s="55"/>
      <c r="AL17" s="55"/>
      <c r="AM17" s="55"/>
      <c r="AN17" s="55">
        <v>0</v>
      </c>
      <c r="AO17" s="55"/>
      <c r="AP17" s="55"/>
      <c r="AQ17" s="55"/>
      <c r="AR17" s="55">
        <v>3000000</v>
      </c>
      <c r="AS17" s="55"/>
      <c r="AT17" s="55"/>
      <c r="AU17" s="55"/>
      <c r="AV17" s="55">
        <v>0</v>
      </c>
      <c r="AW17" s="55"/>
      <c r="AX17" s="55"/>
      <c r="AY17" s="55"/>
      <c r="AZ17" s="13">
        <f t="shared" ref="AZ17" si="4">SUM(D17:AY17)</f>
        <v>3000000</v>
      </c>
      <c r="BA17" s="31"/>
    </row>
    <row r="18" spans="2:53" s="2" customFormat="1" x14ac:dyDescent="0.2">
      <c r="B18" s="45" t="s">
        <v>56</v>
      </c>
      <c r="C18" s="16"/>
      <c r="D18" s="65">
        <f>D19+D25+D30</f>
        <v>800000</v>
      </c>
      <c r="E18" s="65"/>
      <c r="F18" s="65"/>
      <c r="G18" s="65"/>
      <c r="H18" s="65">
        <f>H19+H25+H30</f>
        <v>600000</v>
      </c>
      <c r="I18" s="65"/>
      <c r="J18" s="65"/>
      <c r="K18" s="65"/>
      <c r="L18" s="65">
        <f>L19+L25+L30</f>
        <v>1100000</v>
      </c>
      <c r="M18" s="65"/>
      <c r="N18" s="65"/>
      <c r="O18" s="65"/>
      <c r="P18" s="65">
        <f>P19+P25+P30</f>
        <v>450000</v>
      </c>
      <c r="Q18" s="65"/>
      <c r="R18" s="65"/>
      <c r="S18" s="65"/>
      <c r="T18" s="65">
        <f>T19+T25+T30</f>
        <v>1000000</v>
      </c>
      <c r="U18" s="65"/>
      <c r="V18" s="65"/>
      <c r="W18" s="65"/>
      <c r="X18" s="65">
        <f>X19+X25+X30</f>
        <v>1150000</v>
      </c>
      <c r="Y18" s="65"/>
      <c r="Z18" s="65"/>
      <c r="AA18" s="65"/>
      <c r="AB18" s="65">
        <f>AB19+AB25+AB30</f>
        <v>925000</v>
      </c>
      <c r="AC18" s="65"/>
      <c r="AD18" s="65"/>
      <c r="AE18" s="65"/>
      <c r="AF18" s="65">
        <f>AF19+AF25+AF30</f>
        <v>825000</v>
      </c>
      <c r="AG18" s="65"/>
      <c r="AH18" s="65"/>
      <c r="AI18" s="65"/>
      <c r="AJ18" s="65">
        <f>AJ19+AJ25+AJ30</f>
        <v>1025000</v>
      </c>
      <c r="AK18" s="65"/>
      <c r="AL18" s="65"/>
      <c r="AM18" s="65"/>
      <c r="AN18" s="65">
        <f>AN19+AN25+AN30</f>
        <v>825000</v>
      </c>
      <c r="AO18" s="65"/>
      <c r="AP18" s="65"/>
      <c r="AQ18" s="65"/>
      <c r="AR18" s="65">
        <f>AR19+AR25+AR30</f>
        <v>1225000</v>
      </c>
      <c r="AS18" s="65"/>
      <c r="AT18" s="65"/>
      <c r="AU18" s="65"/>
      <c r="AV18" s="65">
        <f>AV19+AV25+AV30</f>
        <v>825000</v>
      </c>
      <c r="AW18" s="65"/>
      <c r="AX18" s="65"/>
      <c r="AY18" s="65"/>
      <c r="AZ18" s="18">
        <f>SUM(D18:AY18)</f>
        <v>10750000</v>
      </c>
      <c r="BA18" s="31"/>
    </row>
    <row r="19" spans="2:53" s="2" customFormat="1" x14ac:dyDescent="0.2">
      <c r="B19" s="46" t="s">
        <v>57</v>
      </c>
      <c r="C19" s="3"/>
      <c r="D19" s="56">
        <f>SUM(D20:D24)</f>
        <v>300000</v>
      </c>
      <c r="E19" s="56"/>
      <c r="F19" s="56"/>
      <c r="G19" s="56"/>
      <c r="H19" s="56">
        <f>SUM(H20:H24)</f>
        <v>600000</v>
      </c>
      <c r="I19" s="56"/>
      <c r="J19" s="56"/>
      <c r="K19" s="56"/>
      <c r="L19" s="56">
        <f>SUM(L20:L24)</f>
        <v>400000</v>
      </c>
      <c r="M19" s="56"/>
      <c r="N19" s="56"/>
      <c r="O19" s="56"/>
      <c r="P19" s="56">
        <f>SUM(P20:P24)</f>
        <v>400000</v>
      </c>
      <c r="Q19" s="56"/>
      <c r="R19" s="56"/>
      <c r="S19" s="56"/>
      <c r="T19" s="56">
        <f>SUM(T20:T24)</f>
        <v>700000</v>
      </c>
      <c r="U19" s="56"/>
      <c r="V19" s="56"/>
      <c r="W19" s="56"/>
      <c r="X19" s="56">
        <f>SUM(X20:X24)</f>
        <v>400000</v>
      </c>
      <c r="Y19" s="56"/>
      <c r="Z19" s="56"/>
      <c r="AA19" s="56"/>
      <c r="AB19" s="57">
        <f>SUM(AB20:AB24)</f>
        <v>400000</v>
      </c>
      <c r="AC19" s="57"/>
      <c r="AD19" s="57"/>
      <c r="AE19" s="57"/>
      <c r="AF19" s="56">
        <f>SUM(AF20:AF24)</f>
        <v>400000</v>
      </c>
      <c r="AG19" s="56"/>
      <c r="AH19" s="56"/>
      <c r="AI19" s="56"/>
      <c r="AJ19" s="56">
        <f>SUM(AJ20:AJ24)</f>
        <v>400000</v>
      </c>
      <c r="AK19" s="56"/>
      <c r="AL19" s="56"/>
      <c r="AM19" s="56"/>
      <c r="AN19" s="56">
        <f>SUM(AN20:AN24)</f>
        <v>400000</v>
      </c>
      <c r="AO19" s="56"/>
      <c r="AP19" s="56"/>
      <c r="AQ19" s="56"/>
      <c r="AR19" s="56">
        <f>SUM(AR20:AR24)</f>
        <v>700000</v>
      </c>
      <c r="AS19" s="56"/>
      <c r="AT19" s="56"/>
      <c r="AU19" s="56"/>
      <c r="AV19" s="56">
        <f>SUM(AV20:AV24)</f>
        <v>400000</v>
      </c>
      <c r="AW19" s="56"/>
      <c r="AX19" s="56"/>
      <c r="AY19" s="56"/>
      <c r="AZ19" s="12">
        <f t="shared" ref="AZ19" si="5">SUM(D19:AY19)</f>
        <v>5500000</v>
      </c>
      <c r="BA19" s="31"/>
    </row>
    <row r="20" spans="2:53" s="2" customFormat="1" x14ac:dyDescent="0.2">
      <c r="B20" s="22" t="s">
        <v>58</v>
      </c>
      <c r="D20" s="55">
        <v>200000</v>
      </c>
      <c r="E20" s="55"/>
      <c r="F20" s="55"/>
      <c r="G20" s="55"/>
      <c r="H20" s="55">
        <v>200000</v>
      </c>
      <c r="I20" s="55"/>
      <c r="J20" s="55"/>
      <c r="K20" s="55"/>
      <c r="L20" s="55">
        <v>200000</v>
      </c>
      <c r="M20" s="55"/>
      <c r="N20" s="55"/>
      <c r="O20" s="55"/>
      <c r="P20" s="55">
        <v>200000</v>
      </c>
      <c r="Q20" s="55"/>
      <c r="R20" s="55"/>
      <c r="S20" s="55"/>
      <c r="T20" s="55">
        <v>200000</v>
      </c>
      <c r="U20" s="55"/>
      <c r="V20" s="55"/>
      <c r="W20" s="55"/>
      <c r="X20" s="55">
        <v>200000</v>
      </c>
      <c r="Y20" s="55"/>
      <c r="Z20" s="55"/>
      <c r="AA20" s="55"/>
      <c r="AB20" s="55">
        <v>200000</v>
      </c>
      <c r="AC20" s="55"/>
      <c r="AD20" s="55"/>
      <c r="AE20" s="55"/>
      <c r="AF20" s="55">
        <v>200000</v>
      </c>
      <c r="AG20" s="55"/>
      <c r="AH20" s="55"/>
      <c r="AI20" s="55"/>
      <c r="AJ20" s="55">
        <v>200000</v>
      </c>
      <c r="AK20" s="55"/>
      <c r="AL20" s="55"/>
      <c r="AM20" s="55"/>
      <c r="AN20" s="55">
        <v>200000</v>
      </c>
      <c r="AO20" s="55"/>
      <c r="AP20" s="55"/>
      <c r="AQ20" s="55"/>
      <c r="AR20" s="55">
        <v>200000</v>
      </c>
      <c r="AS20" s="55"/>
      <c r="AT20" s="55"/>
      <c r="AU20" s="55"/>
      <c r="AV20" s="55">
        <v>200000</v>
      </c>
      <c r="AW20" s="55"/>
      <c r="AX20" s="55"/>
      <c r="AY20" s="55"/>
      <c r="AZ20" s="13">
        <f>SUM(D20:AY20)</f>
        <v>2400000</v>
      </c>
      <c r="BA20" s="31"/>
    </row>
    <row r="21" spans="2:53" s="2" customFormat="1" x14ac:dyDescent="0.2">
      <c r="B21" s="22" t="s">
        <v>59</v>
      </c>
      <c r="D21" s="55">
        <v>100000</v>
      </c>
      <c r="E21" s="55"/>
      <c r="F21" s="55"/>
      <c r="G21" s="55"/>
      <c r="H21" s="55">
        <v>100000</v>
      </c>
      <c r="I21" s="55"/>
      <c r="J21" s="55"/>
      <c r="K21" s="55"/>
      <c r="L21" s="55">
        <v>100000</v>
      </c>
      <c r="M21" s="55"/>
      <c r="N21" s="55"/>
      <c r="O21" s="55"/>
      <c r="P21" s="55">
        <v>100000</v>
      </c>
      <c r="Q21" s="55"/>
      <c r="R21" s="55"/>
      <c r="S21" s="55"/>
      <c r="T21" s="55">
        <v>100000</v>
      </c>
      <c r="U21" s="55"/>
      <c r="V21" s="55"/>
      <c r="W21" s="55"/>
      <c r="X21" s="55">
        <v>100000</v>
      </c>
      <c r="Y21" s="55"/>
      <c r="Z21" s="55"/>
      <c r="AA21" s="55"/>
      <c r="AB21" s="55">
        <v>100000</v>
      </c>
      <c r="AC21" s="55"/>
      <c r="AD21" s="55"/>
      <c r="AE21" s="55"/>
      <c r="AF21" s="55">
        <v>100000</v>
      </c>
      <c r="AG21" s="55"/>
      <c r="AH21" s="55"/>
      <c r="AI21" s="55"/>
      <c r="AJ21" s="55">
        <v>100000</v>
      </c>
      <c r="AK21" s="55"/>
      <c r="AL21" s="55"/>
      <c r="AM21" s="55"/>
      <c r="AN21" s="55">
        <v>100000</v>
      </c>
      <c r="AO21" s="55"/>
      <c r="AP21" s="55"/>
      <c r="AQ21" s="55"/>
      <c r="AR21" s="55">
        <v>100000</v>
      </c>
      <c r="AS21" s="55"/>
      <c r="AT21" s="55"/>
      <c r="AU21" s="55"/>
      <c r="AV21" s="55">
        <v>100000</v>
      </c>
      <c r="AW21" s="55"/>
      <c r="AX21" s="55"/>
      <c r="AY21" s="55"/>
      <c r="AZ21" s="13">
        <f>SUM(D21:AY21)</f>
        <v>1200000</v>
      </c>
      <c r="BA21" s="31"/>
    </row>
    <row r="22" spans="2:53" s="2" customFormat="1" x14ac:dyDescent="0.2">
      <c r="B22" s="22" t="s">
        <v>60</v>
      </c>
      <c r="D22" s="55">
        <v>0</v>
      </c>
      <c r="E22" s="55"/>
      <c r="F22" s="55"/>
      <c r="G22" s="55"/>
      <c r="H22" s="55">
        <v>0</v>
      </c>
      <c r="I22" s="55"/>
      <c r="J22" s="55"/>
      <c r="K22" s="55"/>
      <c r="L22" s="55">
        <v>50000</v>
      </c>
      <c r="M22" s="55"/>
      <c r="N22" s="55"/>
      <c r="O22" s="55"/>
      <c r="P22" s="55">
        <v>50000</v>
      </c>
      <c r="Q22" s="55"/>
      <c r="R22" s="55"/>
      <c r="S22" s="55"/>
      <c r="T22" s="55">
        <v>50000</v>
      </c>
      <c r="U22" s="55"/>
      <c r="V22" s="55"/>
      <c r="W22" s="55"/>
      <c r="X22" s="55">
        <v>50000</v>
      </c>
      <c r="Y22" s="55"/>
      <c r="Z22" s="55"/>
      <c r="AA22" s="55"/>
      <c r="AB22" s="55">
        <v>50000</v>
      </c>
      <c r="AC22" s="55"/>
      <c r="AD22" s="55"/>
      <c r="AE22" s="55"/>
      <c r="AF22" s="55">
        <v>50000</v>
      </c>
      <c r="AG22" s="55"/>
      <c r="AH22" s="55"/>
      <c r="AI22" s="55"/>
      <c r="AJ22" s="55">
        <v>50000</v>
      </c>
      <c r="AK22" s="55"/>
      <c r="AL22" s="55"/>
      <c r="AM22" s="55"/>
      <c r="AN22" s="55">
        <v>50000</v>
      </c>
      <c r="AO22" s="55"/>
      <c r="AP22" s="55"/>
      <c r="AQ22" s="55"/>
      <c r="AR22" s="55">
        <v>50000</v>
      </c>
      <c r="AS22" s="55"/>
      <c r="AT22" s="55"/>
      <c r="AU22" s="55"/>
      <c r="AV22" s="55">
        <v>50000</v>
      </c>
      <c r="AW22" s="55"/>
      <c r="AX22" s="55"/>
      <c r="AY22" s="55"/>
      <c r="AZ22" s="13">
        <f>SUM(D22:AY22)</f>
        <v>500000</v>
      </c>
      <c r="BA22" s="31"/>
    </row>
    <row r="23" spans="2:53" s="2" customFormat="1" x14ac:dyDescent="0.2">
      <c r="B23" s="22" t="s">
        <v>61</v>
      </c>
      <c r="D23" s="55">
        <v>0</v>
      </c>
      <c r="E23" s="55"/>
      <c r="F23" s="55"/>
      <c r="G23" s="55"/>
      <c r="H23" s="55">
        <v>300000</v>
      </c>
      <c r="I23" s="55"/>
      <c r="J23" s="55"/>
      <c r="K23" s="55"/>
      <c r="L23" s="55">
        <v>0</v>
      </c>
      <c r="M23" s="55"/>
      <c r="N23" s="55"/>
      <c r="O23" s="55"/>
      <c r="P23" s="55">
        <v>0</v>
      </c>
      <c r="Q23" s="55"/>
      <c r="R23" s="55"/>
      <c r="S23" s="55"/>
      <c r="T23" s="55">
        <v>300000</v>
      </c>
      <c r="U23" s="55"/>
      <c r="V23" s="55"/>
      <c r="W23" s="55"/>
      <c r="X23" s="55">
        <v>0</v>
      </c>
      <c r="Y23" s="55"/>
      <c r="Z23" s="55"/>
      <c r="AA23" s="55"/>
      <c r="AB23" s="55">
        <v>0</v>
      </c>
      <c r="AC23" s="55"/>
      <c r="AD23" s="55"/>
      <c r="AE23" s="55"/>
      <c r="AF23" s="55">
        <v>0</v>
      </c>
      <c r="AG23" s="55"/>
      <c r="AH23" s="55"/>
      <c r="AI23" s="55"/>
      <c r="AJ23" s="55">
        <v>0</v>
      </c>
      <c r="AK23" s="55"/>
      <c r="AL23" s="55"/>
      <c r="AM23" s="55"/>
      <c r="AN23" s="55">
        <v>0</v>
      </c>
      <c r="AO23" s="55"/>
      <c r="AP23" s="55"/>
      <c r="AQ23" s="55"/>
      <c r="AR23" s="55">
        <v>300000</v>
      </c>
      <c r="AS23" s="55"/>
      <c r="AT23" s="55"/>
      <c r="AU23" s="55"/>
      <c r="AV23" s="55">
        <v>0</v>
      </c>
      <c r="AW23" s="55"/>
      <c r="AX23" s="55"/>
      <c r="AY23" s="55"/>
      <c r="AZ23" s="13">
        <f>SUM(D23:AY23)</f>
        <v>900000</v>
      </c>
      <c r="BA23" s="31"/>
    </row>
    <row r="24" spans="2:53" s="2" customFormat="1" x14ac:dyDescent="0.2">
      <c r="B24" s="22" t="s">
        <v>62</v>
      </c>
      <c r="D24" s="55">
        <v>0</v>
      </c>
      <c r="E24" s="55"/>
      <c r="F24" s="55"/>
      <c r="G24" s="55"/>
      <c r="H24" s="55">
        <v>0</v>
      </c>
      <c r="I24" s="55"/>
      <c r="J24" s="55"/>
      <c r="K24" s="55"/>
      <c r="L24" s="55">
        <v>50000</v>
      </c>
      <c r="M24" s="55"/>
      <c r="N24" s="55"/>
      <c r="O24" s="55"/>
      <c r="P24" s="55">
        <v>50000</v>
      </c>
      <c r="Q24" s="55"/>
      <c r="R24" s="55"/>
      <c r="S24" s="55"/>
      <c r="T24" s="55">
        <v>50000</v>
      </c>
      <c r="U24" s="55"/>
      <c r="V24" s="55"/>
      <c r="W24" s="55"/>
      <c r="X24" s="55">
        <v>50000</v>
      </c>
      <c r="Y24" s="55"/>
      <c r="Z24" s="55"/>
      <c r="AA24" s="55"/>
      <c r="AB24" s="55">
        <v>50000</v>
      </c>
      <c r="AC24" s="55"/>
      <c r="AD24" s="55"/>
      <c r="AE24" s="55"/>
      <c r="AF24" s="55">
        <v>50000</v>
      </c>
      <c r="AG24" s="55"/>
      <c r="AH24" s="55"/>
      <c r="AI24" s="55"/>
      <c r="AJ24" s="55">
        <v>50000</v>
      </c>
      <c r="AK24" s="55"/>
      <c r="AL24" s="55"/>
      <c r="AM24" s="55"/>
      <c r="AN24" s="55">
        <v>50000</v>
      </c>
      <c r="AO24" s="55"/>
      <c r="AP24" s="55"/>
      <c r="AQ24" s="55"/>
      <c r="AR24" s="55">
        <v>50000</v>
      </c>
      <c r="AS24" s="55"/>
      <c r="AT24" s="55"/>
      <c r="AU24" s="55"/>
      <c r="AV24" s="55">
        <v>50000</v>
      </c>
      <c r="AW24" s="55"/>
      <c r="AX24" s="55"/>
      <c r="AY24" s="55"/>
      <c r="AZ24" s="13">
        <f t="shared" ref="AZ24" si="6">SUM(D24:AY24)</f>
        <v>500000</v>
      </c>
      <c r="BA24" s="31"/>
    </row>
    <row r="25" spans="2:53" s="2" customFormat="1" x14ac:dyDescent="0.2">
      <c r="B25" s="46" t="s">
        <v>63</v>
      </c>
      <c r="C25" s="14"/>
      <c r="D25" s="56">
        <f>SUM(D26:D29)</f>
        <v>0</v>
      </c>
      <c r="E25" s="56"/>
      <c r="F25" s="56"/>
      <c r="G25" s="56"/>
      <c r="H25" s="56">
        <f>SUM(H26:H29)</f>
        <v>0</v>
      </c>
      <c r="I25" s="56"/>
      <c r="J25" s="56"/>
      <c r="K25" s="56"/>
      <c r="L25" s="56">
        <f>SUM(L26:L29)</f>
        <v>50000</v>
      </c>
      <c r="M25" s="56"/>
      <c r="N25" s="56"/>
      <c r="O25" s="56"/>
      <c r="P25" s="56">
        <f>SUM(P26:P29)</f>
        <v>50000</v>
      </c>
      <c r="Q25" s="56"/>
      <c r="R25" s="56"/>
      <c r="S25" s="56"/>
      <c r="T25" s="56">
        <f>SUM(T26:T29)</f>
        <v>50000</v>
      </c>
      <c r="U25" s="56"/>
      <c r="V25" s="56"/>
      <c r="W25" s="56"/>
      <c r="X25" s="56">
        <f>SUM(X26:X29)</f>
        <v>50000</v>
      </c>
      <c r="Y25" s="56"/>
      <c r="Z25" s="56"/>
      <c r="AA25" s="56"/>
      <c r="AB25" s="57">
        <f>SUM(AB26:AB29)</f>
        <v>50000</v>
      </c>
      <c r="AC25" s="57"/>
      <c r="AD25" s="57"/>
      <c r="AE25" s="57"/>
      <c r="AF25" s="56">
        <f>SUM(AF26:AF29)</f>
        <v>50000</v>
      </c>
      <c r="AG25" s="56"/>
      <c r="AH25" s="56"/>
      <c r="AI25" s="56"/>
      <c r="AJ25" s="56">
        <f>SUM(AJ26:AJ29)</f>
        <v>50000</v>
      </c>
      <c r="AK25" s="56"/>
      <c r="AL25" s="56"/>
      <c r="AM25" s="56"/>
      <c r="AN25" s="56">
        <f>SUM(AN26:AN29)</f>
        <v>50000</v>
      </c>
      <c r="AO25" s="56"/>
      <c r="AP25" s="56"/>
      <c r="AQ25" s="56"/>
      <c r="AR25" s="56">
        <f>SUM(AR26:AR29)</f>
        <v>50000</v>
      </c>
      <c r="AS25" s="56"/>
      <c r="AT25" s="56"/>
      <c r="AU25" s="56"/>
      <c r="AV25" s="56">
        <f>SUM(AV26:AV29)</f>
        <v>50000</v>
      </c>
      <c r="AW25" s="56"/>
      <c r="AX25" s="56"/>
      <c r="AY25" s="56"/>
      <c r="AZ25" s="12">
        <f t="shared" ref="AZ25:AZ39" si="7">SUM(D25:AY25)</f>
        <v>500000</v>
      </c>
      <c r="BA25" s="31"/>
    </row>
    <row r="26" spans="2:53" s="2" customFormat="1" x14ac:dyDescent="0.2">
      <c r="B26" s="22" t="s">
        <v>64</v>
      </c>
      <c r="C26" s="8"/>
      <c r="D26" s="55">
        <v>0</v>
      </c>
      <c r="E26" s="55"/>
      <c r="F26" s="55"/>
      <c r="G26" s="55"/>
      <c r="H26" s="55">
        <v>0</v>
      </c>
      <c r="I26" s="55"/>
      <c r="J26" s="55"/>
      <c r="K26" s="55"/>
      <c r="L26" s="55">
        <v>0</v>
      </c>
      <c r="M26" s="55"/>
      <c r="N26" s="55"/>
      <c r="O26" s="55"/>
      <c r="P26" s="55">
        <v>0</v>
      </c>
      <c r="Q26" s="55"/>
      <c r="R26" s="55"/>
      <c r="S26" s="55"/>
      <c r="T26" s="55">
        <v>0</v>
      </c>
      <c r="U26" s="55"/>
      <c r="V26" s="55"/>
      <c r="W26" s="55"/>
      <c r="X26" s="55">
        <v>0</v>
      </c>
      <c r="Y26" s="55"/>
      <c r="Z26" s="55"/>
      <c r="AA26" s="55"/>
      <c r="AB26" s="55">
        <v>0</v>
      </c>
      <c r="AC26" s="55"/>
      <c r="AD26" s="55"/>
      <c r="AE26" s="55"/>
      <c r="AF26" s="55">
        <v>0</v>
      </c>
      <c r="AG26" s="55"/>
      <c r="AH26" s="55"/>
      <c r="AI26" s="55"/>
      <c r="AJ26" s="55">
        <v>0</v>
      </c>
      <c r="AK26" s="55"/>
      <c r="AL26" s="55"/>
      <c r="AM26" s="55"/>
      <c r="AN26" s="55">
        <v>0</v>
      </c>
      <c r="AO26" s="55"/>
      <c r="AP26" s="55"/>
      <c r="AQ26" s="55"/>
      <c r="AR26" s="55">
        <v>0</v>
      </c>
      <c r="AS26" s="55"/>
      <c r="AT26" s="55"/>
      <c r="AU26" s="55"/>
      <c r="AV26" s="55">
        <v>0</v>
      </c>
      <c r="AW26" s="55"/>
      <c r="AX26" s="55"/>
      <c r="AY26" s="55"/>
      <c r="AZ26" s="13">
        <f t="shared" si="7"/>
        <v>0</v>
      </c>
      <c r="BA26" s="31"/>
    </row>
    <row r="27" spans="2:53" s="2" customFormat="1" x14ac:dyDescent="0.2">
      <c r="B27" s="22" t="s">
        <v>65</v>
      </c>
      <c r="C27" s="8"/>
      <c r="D27" s="55">
        <v>0</v>
      </c>
      <c r="E27" s="55"/>
      <c r="F27" s="55"/>
      <c r="G27" s="55"/>
      <c r="H27" s="55">
        <v>0</v>
      </c>
      <c r="I27" s="55"/>
      <c r="J27" s="55"/>
      <c r="K27" s="55"/>
      <c r="L27" s="55">
        <v>0</v>
      </c>
      <c r="M27" s="55"/>
      <c r="N27" s="55"/>
      <c r="O27" s="55"/>
      <c r="P27" s="55">
        <v>0</v>
      </c>
      <c r="Q27" s="55"/>
      <c r="R27" s="55"/>
      <c r="S27" s="55"/>
      <c r="T27" s="55">
        <v>0</v>
      </c>
      <c r="U27" s="55"/>
      <c r="V27" s="55"/>
      <c r="W27" s="55"/>
      <c r="X27" s="55">
        <v>0</v>
      </c>
      <c r="Y27" s="55"/>
      <c r="Z27" s="55"/>
      <c r="AA27" s="55"/>
      <c r="AB27" s="55">
        <v>0</v>
      </c>
      <c r="AC27" s="55"/>
      <c r="AD27" s="55"/>
      <c r="AE27" s="55"/>
      <c r="AF27" s="55">
        <v>0</v>
      </c>
      <c r="AG27" s="55"/>
      <c r="AH27" s="55"/>
      <c r="AI27" s="55"/>
      <c r="AJ27" s="55">
        <v>0</v>
      </c>
      <c r="AK27" s="55"/>
      <c r="AL27" s="55"/>
      <c r="AM27" s="55"/>
      <c r="AN27" s="55">
        <v>0</v>
      </c>
      <c r="AO27" s="55"/>
      <c r="AP27" s="55"/>
      <c r="AQ27" s="55"/>
      <c r="AR27" s="55">
        <v>0</v>
      </c>
      <c r="AS27" s="55"/>
      <c r="AT27" s="55"/>
      <c r="AU27" s="55"/>
      <c r="AV27" s="55">
        <v>0</v>
      </c>
      <c r="AW27" s="55"/>
      <c r="AX27" s="55"/>
      <c r="AY27" s="55"/>
      <c r="AZ27" s="13">
        <f t="shared" si="7"/>
        <v>0</v>
      </c>
      <c r="BA27" s="31"/>
    </row>
    <row r="28" spans="2:53" s="2" customFormat="1" x14ac:dyDescent="0.2">
      <c r="B28" s="22" t="s">
        <v>66</v>
      </c>
      <c r="C28" s="8"/>
      <c r="D28" s="55">
        <v>0</v>
      </c>
      <c r="E28" s="55"/>
      <c r="F28" s="55"/>
      <c r="G28" s="55"/>
      <c r="H28" s="55">
        <v>0</v>
      </c>
      <c r="I28" s="55"/>
      <c r="J28" s="55"/>
      <c r="K28" s="55"/>
      <c r="L28" s="55">
        <v>0</v>
      </c>
      <c r="M28" s="55"/>
      <c r="N28" s="55"/>
      <c r="O28" s="55"/>
      <c r="P28" s="55">
        <v>0</v>
      </c>
      <c r="Q28" s="55"/>
      <c r="R28" s="55"/>
      <c r="S28" s="55"/>
      <c r="T28" s="55">
        <v>0</v>
      </c>
      <c r="U28" s="55"/>
      <c r="V28" s="55"/>
      <c r="W28" s="55"/>
      <c r="X28" s="55">
        <v>0</v>
      </c>
      <c r="Y28" s="55"/>
      <c r="Z28" s="55"/>
      <c r="AA28" s="55"/>
      <c r="AB28" s="55">
        <v>0</v>
      </c>
      <c r="AC28" s="55"/>
      <c r="AD28" s="55"/>
      <c r="AE28" s="55"/>
      <c r="AF28" s="55">
        <v>0</v>
      </c>
      <c r="AG28" s="55"/>
      <c r="AH28" s="55"/>
      <c r="AI28" s="55"/>
      <c r="AJ28" s="55">
        <v>0</v>
      </c>
      <c r="AK28" s="55"/>
      <c r="AL28" s="55"/>
      <c r="AM28" s="55"/>
      <c r="AN28" s="55">
        <v>0</v>
      </c>
      <c r="AO28" s="55"/>
      <c r="AP28" s="55"/>
      <c r="AQ28" s="55"/>
      <c r="AR28" s="55">
        <v>0</v>
      </c>
      <c r="AS28" s="55"/>
      <c r="AT28" s="55"/>
      <c r="AU28" s="55"/>
      <c r="AV28" s="55">
        <v>0</v>
      </c>
      <c r="AW28" s="55"/>
      <c r="AX28" s="55"/>
      <c r="AY28" s="55"/>
      <c r="AZ28" s="13">
        <f t="shared" si="7"/>
        <v>0</v>
      </c>
      <c r="BA28" s="31"/>
    </row>
    <row r="29" spans="2:53" s="2" customFormat="1" x14ac:dyDescent="0.2">
      <c r="B29" s="22" t="s">
        <v>67</v>
      </c>
      <c r="C29" s="8"/>
      <c r="D29" s="55">
        <v>0</v>
      </c>
      <c r="E29" s="55"/>
      <c r="F29" s="55"/>
      <c r="G29" s="55"/>
      <c r="H29" s="55">
        <v>0</v>
      </c>
      <c r="I29" s="55"/>
      <c r="J29" s="55"/>
      <c r="K29" s="55"/>
      <c r="L29" s="55">
        <v>50000</v>
      </c>
      <c r="M29" s="55"/>
      <c r="N29" s="55"/>
      <c r="O29" s="55"/>
      <c r="P29" s="55">
        <v>50000</v>
      </c>
      <c r="Q29" s="55"/>
      <c r="R29" s="55"/>
      <c r="S29" s="55"/>
      <c r="T29" s="55">
        <v>50000</v>
      </c>
      <c r="U29" s="55"/>
      <c r="V29" s="55"/>
      <c r="W29" s="55"/>
      <c r="X29" s="55">
        <v>50000</v>
      </c>
      <c r="Y29" s="55"/>
      <c r="Z29" s="55"/>
      <c r="AA29" s="55"/>
      <c r="AB29" s="55">
        <v>50000</v>
      </c>
      <c r="AC29" s="55"/>
      <c r="AD29" s="55"/>
      <c r="AE29" s="55"/>
      <c r="AF29" s="55">
        <v>50000</v>
      </c>
      <c r="AG29" s="55"/>
      <c r="AH29" s="55"/>
      <c r="AI29" s="55"/>
      <c r="AJ29" s="55">
        <v>50000</v>
      </c>
      <c r="AK29" s="55"/>
      <c r="AL29" s="55"/>
      <c r="AM29" s="55"/>
      <c r="AN29" s="55">
        <v>50000</v>
      </c>
      <c r="AO29" s="55"/>
      <c r="AP29" s="55"/>
      <c r="AQ29" s="55"/>
      <c r="AR29" s="55">
        <v>50000</v>
      </c>
      <c r="AS29" s="55"/>
      <c r="AT29" s="55"/>
      <c r="AU29" s="55"/>
      <c r="AV29" s="55">
        <v>50000</v>
      </c>
      <c r="AW29" s="55"/>
      <c r="AX29" s="55"/>
      <c r="AY29" s="55"/>
      <c r="AZ29" s="13">
        <f t="shared" si="7"/>
        <v>500000</v>
      </c>
      <c r="BA29" s="31"/>
    </row>
    <row r="30" spans="2:53" s="2" customFormat="1" x14ac:dyDescent="0.2">
      <c r="B30" s="46" t="s">
        <v>68</v>
      </c>
      <c r="C30" s="14"/>
      <c r="D30" s="56">
        <f>SUM(D31:D39)</f>
        <v>500000</v>
      </c>
      <c r="E30" s="56"/>
      <c r="F30" s="56"/>
      <c r="G30" s="56"/>
      <c r="H30" s="56">
        <f>SUM(H31:H39)</f>
        <v>0</v>
      </c>
      <c r="I30" s="56"/>
      <c r="J30" s="56"/>
      <c r="K30" s="56"/>
      <c r="L30" s="56">
        <f>SUM(L31:L39)</f>
        <v>650000</v>
      </c>
      <c r="M30" s="56"/>
      <c r="N30" s="56"/>
      <c r="O30" s="56"/>
      <c r="P30" s="56">
        <f>SUM(P31:P39)</f>
        <v>0</v>
      </c>
      <c r="Q30" s="56"/>
      <c r="R30" s="56"/>
      <c r="S30" s="56"/>
      <c r="T30" s="56">
        <f>SUM(T31:T39)</f>
        <v>250000</v>
      </c>
      <c r="U30" s="56"/>
      <c r="V30" s="56"/>
      <c r="W30" s="56"/>
      <c r="X30" s="56">
        <f>SUM(X31:X39)</f>
        <v>700000</v>
      </c>
      <c r="Y30" s="56"/>
      <c r="Z30" s="56"/>
      <c r="AA30" s="56"/>
      <c r="AB30" s="57">
        <f>SUM(AB31:AB39)</f>
        <v>475000</v>
      </c>
      <c r="AC30" s="57"/>
      <c r="AD30" s="57"/>
      <c r="AE30" s="57"/>
      <c r="AF30" s="56">
        <f>SUM(AF31:AF39)</f>
        <v>375000</v>
      </c>
      <c r="AG30" s="56"/>
      <c r="AH30" s="56"/>
      <c r="AI30" s="56"/>
      <c r="AJ30" s="56">
        <f>SUM(AJ31:AJ39)</f>
        <v>575000</v>
      </c>
      <c r="AK30" s="56"/>
      <c r="AL30" s="56"/>
      <c r="AM30" s="56"/>
      <c r="AN30" s="56">
        <f>SUM(AN31:AN39)</f>
        <v>375000</v>
      </c>
      <c r="AO30" s="56"/>
      <c r="AP30" s="56"/>
      <c r="AQ30" s="56"/>
      <c r="AR30" s="56">
        <f>SUM(AR31:AR39)</f>
        <v>475000</v>
      </c>
      <c r="AS30" s="56"/>
      <c r="AT30" s="56"/>
      <c r="AU30" s="56"/>
      <c r="AV30" s="56">
        <f>SUM(AV31:AV39)</f>
        <v>375000</v>
      </c>
      <c r="AW30" s="56"/>
      <c r="AX30" s="56"/>
      <c r="AY30" s="56"/>
      <c r="AZ30" s="12">
        <f t="shared" si="7"/>
        <v>4750000</v>
      </c>
      <c r="BA30" s="31"/>
    </row>
    <row r="31" spans="2:53" s="2" customFormat="1" x14ac:dyDescent="0.2">
      <c r="B31" s="22" t="s">
        <v>69</v>
      </c>
      <c r="C31" s="8"/>
      <c r="D31" s="55">
        <v>0</v>
      </c>
      <c r="E31" s="55"/>
      <c r="F31" s="55"/>
      <c r="G31" s="55"/>
      <c r="H31" s="55">
        <v>0</v>
      </c>
      <c r="I31" s="55"/>
      <c r="J31" s="55"/>
      <c r="K31" s="55"/>
      <c r="L31" s="55">
        <v>0</v>
      </c>
      <c r="M31" s="55"/>
      <c r="N31" s="55"/>
      <c r="O31" s="55"/>
      <c r="P31" s="55">
        <v>0</v>
      </c>
      <c r="Q31" s="55"/>
      <c r="R31" s="55"/>
      <c r="S31" s="55"/>
      <c r="T31" s="55">
        <v>0</v>
      </c>
      <c r="U31" s="55"/>
      <c r="V31" s="55"/>
      <c r="W31" s="55"/>
      <c r="X31" s="55">
        <v>0</v>
      </c>
      <c r="Y31" s="55"/>
      <c r="Z31" s="55"/>
      <c r="AA31" s="55"/>
      <c r="AB31" s="55">
        <v>0</v>
      </c>
      <c r="AC31" s="55"/>
      <c r="AD31" s="55"/>
      <c r="AE31" s="55"/>
      <c r="AF31" s="55">
        <v>0</v>
      </c>
      <c r="AG31" s="55"/>
      <c r="AH31" s="55"/>
      <c r="AI31" s="55"/>
      <c r="AJ31" s="55">
        <v>0</v>
      </c>
      <c r="AK31" s="55"/>
      <c r="AL31" s="55"/>
      <c r="AM31" s="55"/>
      <c r="AN31" s="55">
        <v>0</v>
      </c>
      <c r="AO31" s="55"/>
      <c r="AP31" s="55"/>
      <c r="AQ31" s="55"/>
      <c r="AR31" s="55">
        <v>0</v>
      </c>
      <c r="AS31" s="55"/>
      <c r="AT31" s="55"/>
      <c r="AU31" s="55"/>
      <c r="AV31" s="55">
        <v>0</v>
      </c>
      <c r="AW31" s="55"/>
      <c r="AX31" s="55"/>
      <c r="AY31" s="55"/>
      <c r="AZ31" s="13">
        <f t="shared" si="7"/>
        <v>0</v>
      </c>
      <c r="BA31" s="31"/>
    </row>
    <row r="32" spans="2:53" s="2" customFormat="1" x14ac:dyDescent="0.2">
      <c r="B32" s="22" t="s">
        <v>70</v>
      </c>
      <c r="C32" s="8"/>
      <c r="D32" s="55">
        <v>0</v>
      </c>
      <c r="E32" s="55"/>
      <c r="F32" s="55"/>
      <c r="G32" s="55"/>
      <c r="H32" s="55">
        <v>0</v>
      </c>
      <c r="I32" s="55"/>
      <c r="J32" s="55"/>
      <c r="K32" s="55"/>
      <c r="L32" s="55">
        <v>0</v>
      </c>
      <c r="M32" s="55"/>
      <c r="N32" s="55"/>
      <c r="O32" s="55"/>
      <c r="P32" s="55">
        <v>0</v>
      </c>
      <c r="Q32" s="55"/>
      <c r="R32" s="55"/>
      <c r="S32" s="55"/>
      <c r="T32" s="55">
        <v>0</v>
      </c>
      <c r="U32" s="55"/>
      <c r="V32" s="55"/>
      <c r="W32" s="55"/>
      <c r="X32" s="55">
        <v>0</v>
      </c>
      <c r="Y32" s="55"/>
      <c r="Z32" s="55"/>
      <c r="AA32" s="55"/>
      <c r="AB32" s="55">
        <v>0</v>
      </c>
      <c r="AC32" s="55"/>
      <c r="AD32" s="55"/>
      <c r="AE32" s="55"/>
      <c r="AF32" s="55">
        <v>0</v>
      </c>
      <c r="AG32" s="55"/>
      <c r="AH32" s="55"/>
      <c r="AI32" s="55"/>
      <c r="AJ32" s="55">
        <v>0</v>
      </c>
      <c r="AK32" s="55"/>
      <c r="AL32" s="55"/>
      <c r="AM32" s="55"/>
      <c r="AN32" s="55">
        <v>0</v>
      </c>
      <c r="AO32" s="55"/>
      <c r="AP32" s="55"/>
      <c r="AQ32" s="55"/>
      <c r="AR32" s="55">
        <v>0</v>
      </c>
      <c r="AS32" s="55"/>
      <c r="AT32" s="55"/>
      <c r="AU32" s="55"/>
      <c r="AV32" s="55">
        <v>0</v>
      </c>
      <c r="AW32" s="55"/>
      <c r="AX32" s="55"/>
      <c r="AY32" s="55"/>
      <c r="AZ32" s="13">
        <f t="shared" si="7"/>
        <v>0</v>
      </c>
      <c r="BA32" s="31"/>
    </row>
    <row r="33" spans="2:55" s="2" customFormat="1" x14ac:dyDescent="0.2">
      <c r="B33" s="22" t="s">
        <v>71</v>
      </c>
      <c r="C33" s="8"/>
      <c r="D33" s="55">
        <v>0</v>
      </c>
      <c r="E33" s="55"/>
      <c r="F33" s="55"/>
      <c r="G33" s="55"/>
      <c r="H33" s="55">
        <v>0</v>
      </c>
      <c r="I33" s="55"/>
      <c r="J33" s="55"/>
      <c r="K33" s="55"/>
      <c r="L33" s="55">
        <v>100000</v>
      </c>
      <c r="M33" s="55"/>
      <c r="N33" s="55"/>
      <c r="O33" s="55"/>
      <c r="P33" s="55">
        <v>0</v>
      </c>
      <c r="Q33" s="55"/>
      <c r="R33" s="55"/>
      <c r="S33" s="55"/>
      <c r="T33" s="55">
        <v>100000</v>
      </c>
      <c r="U33" s="55"/>
      <c r="V33" s="55"/>
      <c r="W33" s="55"/>
      <c r="X33" s="55">
        <v>0</v>
      </c>
      <c r="Y33" s="55"/>
      <c r="Z33" s="55"/>
      <c r="AA33" s="55"/>
      <c r="AB33" s="55">
        <v>100000</v>
      </c>
      <c r="AC33" s="55"/>
      <c r="AD33" s="55"/>
      <c r="AE33" s="55"/>
      <c r="AF33" s="55">
        <v>0</v>
      </c>
      <c r="AG33" s="55"/>
      <c r="AH33" s="55"/>
      <c r="AI33" s="55"/>
      <c r="AJ33" s="55">
        <v>100000</v>
      </c>
      <c r="AK33" s="55"/>
      <c r="AL33" s="55"/>
      <c r="AM33" s="55"/>
      <c r="AN33" s="55">
        <v>0</v>
      </c>
      <c r="AO33" s="55"/>
      <c r="AP33" s="55"/>
      <c r="AQ33" s="55"/>
      <c r="AR33" s="55">
        <v>100000</v>
      </c>
      <c r="AS33" s="55"/>
      <c r="AT33" s="55"/>
      <c r="AU33" s="55"/>
      <c r="AV33" s="55">
        <v>0</v>
      </c>
      <c r="AW33" s="55"/>
      <c r="AX33" s="55"/>
      <c r="AY33" s="55"/>
      <c r="AZ33" s="13">
        <f t="shared" si="7"/>
        <v>500000</v>
      </c>
      <c r="BA33" s="31"/>
    </row>
    <row r="34" spans="2:55" s="2" customFormat="1" x14ac:dyDescent="0.2">
      <c r="B34" s="22" t="s">
        <v>72</v>
      </c>
      <c r="C34" s="8"/>
      <c r="D34" s="55">
        <v>0</v>
      </c>
      <c r="E34" s="55"/>
      <c r="F34" s="55"/>
      <c r="G34" s="55"/>
      <c r="H34" s="55">
        <v>0</v>
      </c>
      <c r="I34" s="55"/>
      <c r="J34" s="55"/>
      <c r="K34" s="55"/>
      <c r="L34" s="55">
        <v>250000</v>
      </c>
      <c r="M34" s="55"/>
      <c r="N34" s="55"/>
      <c r="O34" s="55"/>
      <c r="P34" s="55">
        <v>0</v>
      </c>
      <c r="Q34" s="55"/>
      <c r="R34" s="55"/>
      <c r="S34" s="55"/>
      <c r="T34" s="55">
        <v>0</v>
      </c>
      <c r="U34" s="55"/>
      <c r="V34" s="55"/>
      <c r="W34" s="55"/>
      <c r="X34" s="55">
        <v>250000</v>
      </c>
      <c r="Y34" s="55"/>
      <c r="Z34" s="55"/>
      <c r="AA34" s="55"/>
      <c r="AB34" s="55">
        <v>0</v>
      </c>
      <c r="AC34" s="55"/>
      <c r="AD34" s="55"/>
      <c r="AE34" s="55"/>
      <c r="AF34" s="55">
        <v>0</v>
      </c>
      <c r="AG34" s="55"/>
      <c r="AH34" s="55"/>
      <c r="AI34" s="55"/>
      <c r="AJ34" s="55">
        <v>0</v>
      </c>
      <c r="AK34" s="55"/>
      <c r="AL34" s="55"/>
      <c r="AM34" s="55"/>
      <c r="AN34" s="55">
        <v>0</v>
      </c>
      <c r="AO34" s="55"/>
      <c r="AP34" s="55"/>
      <c r="AQ34" s="55"/>
      <c r="AR34" s="55">
        <v>0</v>
      </c>
      <c r="AS34" s="55"/>
      <c r="AT34" s="55"/>
      <c r="AU34" s="55"/>
      <c r="AV34" s="55">
        <v>0</v>
      </c>
      <c r="AW34" s="55"/>
      <c r="AX34" s="55"/>
      <c r="AY34" s="55"/>
      <c r="AZ34" s="13">
        <f t="shared" si="7"/>
        <v>500000</v>
      </c>
      <c r="BA34" s="31"/>
    </row>
    <row r="35" spans="2:55" s="2" customFormat="1" x14ac:dyDescent="0.2">
      <c r="B35" s="22" t="s">
        <v>76</v>
      </c>
      <c r="C35" s="8"/>
      <c r="D35" s="55">
        <v>0</v>
      </c>
      <c r="E35" s="55"/>
      <c r="F35" s="55"/>
      <c r="G35" s="55"/>
      <c r="H35" s="55">
        <v>0</v>
      </c>
      <c r="I35" s="55"/>
      <c r="J35" s="55"/>
      <c r="K35" s="55"/>
      <c r="L35" s="55">
        <v>0</v>
      </c>
      <c r="M35" s="55"/>
      <c r="N35" s="55"/>
      <c r="O35" s="55"/>
      <c r="P35" s="55">
        <v>0</v>
      </c>
      <c r="Q35" s="55"/>
      <c r="R35" s="55"/>
      <c r="S35" s="55"/>
      <c r="T35" s="55">
        <v>0</v>
      </c>
      <c r="U35" s="55"/>
      <c r="V35" s="55"/>
      <c r="W35" s="55"/>
      <c r="X35" s="55">
        <v>0</v>
      </c>
      <c r="Y35" s="55"/>
      <c r="Z35" s="55"/>
      <c r="AA35" s="55"/>
      <c r="AB35" s="55">
        <v>0</v>
      </c>
      <c r="AC35" s="55"/>
      <c r="AD35" s="55"/>
      <c r="AE35" s="55"/>
      <c r="AF35" s="55">
        <v>0</v>
      </c>
      <c r="AG35" s="55"/>
      <c r="AH35" s="55"/>
      <c r="AI35" s="55"/>
      <c r="AJ35" s="55">
        <v>100000</v>
      </c>
      <c r="AK35" s="55"/>
      <c r="AL35" s="55"/>
      <c r="AM35" s="55"/>
      <c r="AN35" s="55">
        <v>0</v>
      </c>
      <c r="AO35" s="55"/>
      <c r="AP35" s="55"/>
      <c r="AQ35" s="55"/>
      <c r="AR35" s="55">
        <v>0</v>
      </c>
      <c r="AS35" s="55"/>
      <c r="AT35" s="55"/>
      <c r="AU35" s="55"/>
      <c r="AV35" s="55">
        <v>0</v>
      </c>
      <c r="AW35" s="55"/>
      <c r="AX35" s="55"/>
      <c r="AY35" s="55"/>
      <c r="AZ35" s="13">
        <f t="shared" si="7"/>
        <v>100000</v>
      </c>
      <c r="BA35" s="31"/>
    </row>
    <row r="36" spans="2:55" s="2" customFormat="1" x14ac:dyDescent="0.2">
      <c r="B36" s="22" t="s">
        <v>73</v>
      </c>
      <c r="C36" s="8"/>
      <c r="D36" s="55">
        <v>500000</v>
      </c>
      <c r="E36" s="55"/>
      <c r="F36" s="55"/>
      <c r="G36" s="55"/>
      <c r="H36" s="55">
        <v>0</v>
      </c>
      <c r="I36" s="55"/>
      <c r="J36" s="55"/>
      <c r="K36" s="55"/>
      <c r="L36" s="55">
        <v>0</v>
      </c>
      <c r="M36" s="55"/>
      <c r="N36" s="55"/>
      <c r="O36" s="55"/>
      <c r="P36" s="55">
        <v>0</v>
      </c>
      <c r="Q36" s="55"/>
      <c r="R36" s="55"/>
      <c r="S36" s="55"/>
      <c r="T36" s="55">
        <v>0</v>
      </c>
      <c r="U36" s="55"/>
      <c r="V36" s="55"/>
      <c r="W36" s="55"/>
      <c r="X36" s="55">
        <v>0</v>
      </c>
      <c r="Y36" s="55"/>
      <c r="Z36" s="55"/>
      <c r="AA36" s="55"/>
      <c r="AB36" s="55">
        <v>0</v>
      </c>
      <c r="AC36" s="55"/>
      <c r="AD36" s="55"/>
      <c r="AE36" s="55"/>
      <c r="AF36" s="55">
        <v>0</v>
      </c>
      <c r="AG36" s="55"/>
      <c r="AH36" s="55"/>
      <c r="AI36" s="55"/>
      <c r="AJ36" s="55">
        <v>0</v>
      </c>
      <c r="AK36" s="55"/>
      <c r="AL36" s="55"/>
      <c r="AM36" s="55"/>
      <c r="AN36" s="55">
        <v>0</v>
      </c>
      <c r="AO36" s="55"/>
      <c r="AP36" s="55"/>
      <c r="AQ36" s="55"/>
      <c r="AR36" s="55">
        <v>0</v>
      </c>
      <c r="AS36" s="55"/>
      <c r="AT36" s="55"/>
      <c r="AU36" s="55"/>
      <c r="AV36" s="55">
        <v>0</v>
      </c>
      <c r="AW36" s="55"/>
      <c r="AX36" s="55"/>
      <c r="AY36" s="55"/>
      <c r="AZ36" s="13">
        <f t="shared" si="7"/>
        <v>500000</v>
      </c>
      <c r="BA36" s="31"/>
    </row>
    <row r="37" spans="2:55" s="2" customFormat="1" x14ac:dyDescent="0.2">
      <c r="B37" s="22" t="s">
        <v>74</v>
      </c>
      <c r="C37" s="8"/>
      <c r="D37" s="55">
        <v>0</v>
      </c>
      <c r="E37" s="55"/>
      <c r="F37" s="55"/>
      <c r="G37" s="55"/>
      <c r="H37" s="55">
        <v>0</v>
      </c>
      <c r="I37" s="55"/>
      <c r="J37" s="55"/>
      <c r="K37" s="55"/>
      <c r="L37" s="55">
        <v>0</v>
      </c>
      <c r="M37" s="55"/>
      <c r="N37" s="55"/>
      <c r="O37" s="55"/>
      <c r="P37" s="55">
        <v>0</v>
      </c>
      <c r="Q37" s="55"/>
      <c r="R37" s="55"/>
      <c r="S37" s="55"/>
      <c r="T37" s="55">
        <v>150000</v>
      </c>
      <c r="U37" s="55"/>
      <c r="V37" s="55"/>
      <c r="W37" s="55"/>
      <c r="X37" s="55">
        <v>150000</v>
      </c>
      <c r="Y37" s="55"/>
      <c r="Z37" s="55"/>
      <c r="AA37" s="55"/>
      <c r="AB37" s="55">
        <v>0</v>
      </c>
      <c r="AC37" s="55"/>
      <c r="AD37" s="55"/>
      <c r="AE37" s="55"/>
      <c r="AF37" s="55">
        <v>0</v>
      </c>
      <c r="AG37" s="55"/>
      <c r="AH37" s="55"/>
      <c r="AI37" s="55"/>
      <c r="AJ37" s="55">
        <v>0</v>
      </c>
      <c r="AK37" s="55"/>
      <c r="AL37" s="55"/>
      <c r="AM37" s="55"/>
      <c r="AN37" s="55">
        <v>0</v>
      </c>
      <c r="AO37" s="55"/>
      <c r="AP37" s="55"/>
      <c r="AQ37" s="55"/>
      <c r="AR37" s="55">
        <v>0</v>
      </c>
      <c r="AS37" s="55"/>
      <c r="AT37" s="55"/>
      <c r="AU37" s="55"/>
      <c r="AV37" s="55">
        <v>0</v>
      </c>
      <c r="AW37" s="55"/>
      <c r="AX37" s="55"/>
      <c r="AY37" s="55"/>
      <c r="AZ37" s="13">
        <f t="shared" si="7"/>
        <v>300000</v>
      </c>
      <c r="BA37" s="31"/>
    </row>
    <row r="38" spans="2:55" s="2" customFormat="1" x14ac:dyDescent="0.2">
      <c r="B38" s="22" t="s">
        <v>75</v>
      </c>
      <c r="C38" s="8"/>
      <c r="D38" s="55">
        <v>0</v>
      </c>
      <c r="E38" s="55"/>
      <c r="F38" s="55"/>
      <c r="G38" s="55"/>
      <c r="H38" s="55">
        <v>0</v>
      </c>
      <c r="I38" s="55"/>
      <c r="J38" s="55"/>
      <c r="K38" s="55"/>
      <c r="L38" s="55">
        <v>300000</v>
      </c>
      <c r="M38" s="55"/>
      <c r="N38" s="55"/>
      <c r="O38" s="55"/>
      <c r="P38" s="55">
        <v>0</v>
      </c>
      <c r="Q38" s="55"/>
      <c r="R38" s="55"/>
      <c r="S38" s="55"/>
      <c r="T38" s="55">
        <v>0</v>
      </c>
      <c r="U38" s="55"/>
      <c r="V38" s="55"/>
      <c r="W38" s="55"/>
      <c r="X38" s="55">
        <v>300000</v>
      </c>
      <c r="Y38" s="55"/>
      <c r="Z38" s="55"/>
      <c r="AA38" s="55"/>
      <c r="AB38" s="55">
        <v>0</v>
      </c>
      <c r="AC38" s="55"/>
      <c r="AD38" s="55"/>
      <c r="AE38" s="55"/>
      <c r="AF38" s="55">
        <v>0</v>
      </c>
      <c r="AG38" s="55"/>
      <c r="AH38" s="55"/>
      <c r="AI38" s="55"/>
      <c r="AJ38" s="55">
        <v>0</v>
      </c>
      <c r="AK38" s="55"/>
      <c r="AL38" s="55"/>
      <c r="AM38" s="55"/>
      <c r="AN38" s="55">
        <v>0</v>
      </c>
      <c r="AO38" s="55"/>
      <c r="AP38" s="55"/>
      <c r="AQ38" s="55"/>
      <c r="AR38" s="55">
        <v>0</v>
      </c>
      <c r="AS38" s="55"/>
      <c r="AT38" s="55"/>
      <c r="AU38" s="55"/>
      <c r="AV38" s="55">
        <v>0</v>
      </c>
      <c r="AW38" s="55"/>
      <c r="AX38" s="55"/>
      <c r="AY38" s="55"/>
      <c r="AZ38" s="13">
        <f t="shared" ref="AZ38:AZ39" si="8">SUM(D38:AY38)</f>
        <v>600000</v>
      </c>
      <c r="BA38" s="31"/>
    </row>
    <row r="39" spans="2:55" s="2" customFormat="1" x14ac:dyDescent="0.2">
      <c r="B39" s="46" t="s">
        <v>88</v>
      </c>
      <c r="C39" s="14"/>
      <c r="D39" s="56">
        <v>0</v>
      </c>
      <c r="E39" s="56"/>
      <c r="F39" s="56"/>
      <c r="G39" s="56"/>
      <c r="H39" s="56">
        <v>0</v>
      </c>
      <c r="I39" s="56"/>
      <c r="J39" s="56"/>
      <c r="K39" s="56"/>
      <c r="L39" s="56">
        <v>0</v>
      </c>
      <c r="M39" s="56"/>
      <c r="N39" s="56"/>
      <c r="O39" s="56"/>
      <c r="P39" s="56">
        <v>0</v>
      </c>
      <c r="Q39" s="56"/>
      <c r="R39" s="56"/>
      <c r="S39" s="56"/>
      <c r="T39" s="56">
        <v>0</v>
      </c>
      <c r="U39" s="56"/>
      <c r="V39" s="56"/>
      <c r="W39" s="56"/>
      <c r="X39" s="56">
        <v>0</v>
      </c>
      <c r="Y39" s="56"/>
      <c r="Z39" s="56"/>
      <c r="AA39" s="56"/>
      <c r="AB39" s="57">
        <v>375000</v>
      </c>
      <c r="AC39" s="57"/>
      <c r="AD39" s="57"/>
      <c r="AE39" s="57"/>
      <c r="AF39" s="57">
        <v>375000</v>
      </c>
      <c r="AG39" s="57"/>
      <c r="AH39" s="57"/>
      <c r="AI39" s="57"/>
      <c r="AJ39" s="57">
        <v>375000</v>
      </c>
      <c r="AK39" s="57"/>
      <c r="AL39" s="57"/>
      <c r="AM39" s="57"/>
      <c r="AN39" s="57">
        <v>375000</v>
      </c>
      <c r="AO39" s="57"/>
      <c r="AP39" s="57"/>
      <c r="AQ39" s="57"/>
      <c r="AR39" s="57">
        <v>375000</v>
      </c>
      <c r="AS39" s="57"/>
      <c r="AT39" s="57"/>
      <c r="AU39" s="57"/>
      <c r="AV39" s="57">
        <v>375000</v>
      </c>
      <c r="AW39" s="57"/>
      <c r="AX39" s="57"/>
      <c r="AY39" s="57"/>
      <c r="AZ39" s="12">
        <f t="shared" si="8"/>
        <v>2250000</v>
      </c>
      <c r="BA39" s="31"/>
    </row>
    <row r="40" spans="2:55" s="2" customFormat="1" x14ac:dyDescent="0.2">
      <c r="B40" s="45" t="s">
        <v>77</v>
      </c>
      <c r="C40" s="16"/>
      <c r="D40" s="58">
        <f>SUM(D41:D43)</f>
        <v>0</v>
      </c>
      <c r="E40" s="59"/>
      <c r="F40" s="59"/>
      <c r="G40" s="59"/>
      <c r="H40" s="58">
        <f>SUM(H41:H43)</f>
        <v>0</v>
      </c>
      <c r="I40" s="59"/>
      <c r="J40" s="59"/>
      <c r="K40" s="59"/>
      <c r="L40" s="58">
        <f>SUM(L41:L43)</f>
        <v>250000</v>
      </c>
      <c r="M40" s="59"/>
      <c r="N40" s="59"/>
      <c r="O40" s="59"/>
      <c r="P40" s="58">
        <f>SUM(P41:P43)</f>
        <v>250000</v>
      </c>
      <c r="Q40" s="59"/>
      <c r="R40" s="59"/>
      <c r="S40" s="59"/>
      <c r="T40" s="58">
        <f>SUM(T41:T43)</f>
        <v>0</v>
      </c>
      <c r="U40" s="59"/>
      <c r="V40" s="59"/>
      <c r="W40" s="59"/>
      <c r="X40" s="58">
        <f>SUM(X41:X43)</f>
        <v>250000</v>
      </c>
      <c r="Y40" s="59"/>
      <c r="Z40" s="59"/>
      <c r="AA40" s="59"/>
      <c r="AB40" s="58">
        <f>SUM(AB41:AB43)</f>
        <v>250000</v>
      </c>
      <c r="AC40" s="59"/>
      <c r="AD40" s="59"/>
      <c r="AE40" s="59"/>
      <c r="AF40" s="58">
        <f>SUM(AF41:AF43)</f>
        <v>0</v>
      </c>
      <c r="AG40" s="59"/>
      <c r="AH40" s="59"/>
      <c r="AI40" s="59"/>
      <c r="AJ40" s="58">
        <f>SUM(AJ41:AJ43)</f>
        <v>250000</v>
      </c>
      <c r="AK40" s="59"/>
      <c r="AL40" s="59"/>
      <c r="AM40" s="59"/>
      <c r="AN40" s="58">
        <f>SUM(AN41:AN43)</f>
        <v>250000</v>
      </c>
      <c r="AO40" s="59"/>
      <c r="AP40" s="59"/>
      <c r="AQ40" s="59"/>
      <c r="AR40" s="58">
        <f>SUM(AR41:AR43)</f>
        <v>0</v>
      </c>
      <c r="AS40" s="59"/>
      <c r="AT40" s="59"/>
      <c r="AU40" s="59"/>
      <c r="AV40" s="58">
        <f>SUM(AV41:AV43)</f>
        <v>0</v>
      </c>
      <c r="AW40" s="59"/>
      <c r="AX40" s="59"/>
      <c r="AY40" s="59"/>
      <c r="AZ40" s="42">
        <f>SUM(AZ41:AZ43)</f>
        <v>1500000</v>
      </c>
      <c r="BA40" s="19"/>
      <c r="BB40" s="19"/>
      <c r="BC40" s="19"/>
    </row>
    <row r="41" spans="2:55" s="2" customFormat="1" x14ac:dyDescent="0.2">
      <c r="B41" s="22" t="s">
        <v>78</v>
      </c>
      <c r="D41" s="55">
        <v>0</v>
      </c>
      <c r="E41" s="55"/>
      <c r="F41" s="55"/>
      <c r="G41" s="55"/>
      <c r="H41" s="55">
        <v>0</v>
      </c>
      <c r="I41" s="55"/>
      <c r="J41" s="55"/>
      <c r="K41" s="55"/>
      <c r="L41" s="55">
        <v>250000</v>
      </c>
      <c r="M41" s="55"/>
      <c r="N41" s="55"/>
      <c r="O41" s="55"/>
      <c r="P41" s="55">
        <v>250000</v>
      </c>
      <c r="Q41" s="55"/>
      <c r="R41" s="55"/>
      <c r="S41" s="55"/>
      <c r="T41" s="55">
        <v>0</v>
      </c>
      <c r="U41" s="55"/>
      <c r="V41" s="55"/>
      <c r="W41" s="55"/>
      <c r="X41" s="55">
        <v>0</v>
      </c>
      <c r="Y41" s="55"/>
      <c r="Z41" s="55"/>
      <c r="AA41" s="55"/>
      <c r="AB41" s="55">
        <v>0</v>
      </c>
      <c r="AC41" s="55"/>
      <c r="AD41" s="55"/>
      <c r="AE41" s="55"/>
      <c r="AF41" s="55">
        <v>0</v>
      </c>
      <c r="AG41" s="55"/>
      <c r="AH41" s="55"/>
      <c r="AI41" s="55"/>
      <c r="AJ41" s="55">
        <v>0</v>
      </c>
      <c r="AK41" s="55"/>
      <c r="AL41" s="55"/>
      <c r="AM41" s="55"/>
      <c r="AN41" s="55">
        <v>0</v>
      </c>
      <c r="AO41" s="55"/>
      <c r="AP41" s="55"/>
      <c r="AQ41" s="55"/>
      <c r="AR41" s="55">
        <v>0</v>
      </c>
      <c r="AS41" s="55"/>
      <c r="AT41" s="55"/>
      <c r="AU41" s="55"/>
      <c r="AV41" s="55">
        <v>0</v>
      </c>
      <c r="AW41" s="55"/>
      <c r="AX41" s="55"/>
      <c r="AY41" s="55"/>
      <c r="AZ41" s="13">
        <f>SUM(D41:AY41)</f>
        <v>500000</v>
      </c>
      <c r="BA41" s="31"/>
    </row>
    <row r="42" spans="2:55" s="2" customFormat="1" x14ac:dyDescent="0.2">
      <c r="B42" s="22" t="s">
        <v>79</v>
      </c>
      <c r="D42" s="55">
        <v>0</v>
      </c>
      <c r="E42" s="55"/>
      <c r="F42" s="55"/>
      <c r="G42" s="55"/>
      <c r="H42" s="55">
        <v>0</v>
      </c>
      <c r="I42" s="55"/>
      <c r="J42" s="55"/>
      <c r="K42" s="55"/>
      <c r="L42" s="55">
        <v>0</v>
      </c>
      <c r="M42" s="55"/>
      <c r="N42" s="55"/>
      <c r="O42" s="55"/>
      <c r="P42" s="55">
        <v>0</v>
      </c>
      <c r="Q42" s="55"/>
      <c r="R42" s="55"/>
      <c r="S42" s="55"/>
      <c r="T42" s="55">
        <v>0</v>
      </c>
      <c r="U42" s="55"/>
      <c r="V42" s="55"/>
      <c r="W42" s="55"/>
      <c r="X42" s="55">
        <v>250000</v>
      </c>
      <c r="Y42" s="55"/>
      <c r="Z42" s="55"/>
      <c r="AA42" s="55"/>
      <c r="AB42" s="55">
        <v>250000</v>
      </c>
      <c r="AC42" s="55"/>
      <c r="AD42" s="55"/>
      <c r="AE42" s="55"/>
      <c r="AF42" s="55">
        <v>0</v>
      </c>
      <c r="AG42" s="55"/>
      <c r="AH42" s="55"/>
      <c r="AI42" s="55"/>
      <c r="AJ42" s="55">
        <v>0</v>
      </c>
      <c r="AK42" s="55"/>
      <c r="AL42" s="55"/>
      <c r="AM42" s="55"/>
      <c r="AN42" s="55">
        <v>0</v>
      </c>
      <c r="AO42" s="55"/>
      <c r="AP42" s="55"/>
      <c r="AQ42" s="55"/>
      <c r="AR42" s="55">
        <v>0</v>
      </c>
      <c r="AS42" s="55"/>
      <c r="AT42" s="55"/>
      <c r="AU42" s="55"/>
      <c r="AV42" s="55">
        <v>0</v>
      </c>
      <c r="AW42" s="55"/>
      <c r="AX42" s="55"/>
      <c r="AY42" s="55"/>
      <c r="AZ42" s="13">
        <f>SUM(D42:AY42)</f>
        <v>500000</v>
      </c>
      <c r="BA42" s="31"/>
    </row>
    <row r="43" spans="2:55" s="2" customFormat="1" x14ac:dyDescent="0.2">
      <c r="B43" s="22" t="s">
        <v>80</v>
      </c>
      <c r="D43" s="55">
        <v>0</v>
      </c>
      <c r="E43" s="55"/>
      <c r="F43" s="55"/>
      <c r="G43" s="55"/>
      <c r="H43" s="55">
        <v>0</v>
      </c>
      <c r="I43" s="55"/>
      <c r="J43" s="55"/>
      <c r="K43" s="55"/>
      <c r="L43" s="55">
        <v>0</v>
      </c>
      <c r="M43" s="55"/>
      <c r="N43" s="55"/>
      <c r="O43" s="55"/>
      <c r="P43" s="55">
        <v>0</v>
      </c>
      <c r="Q43" s="55"/>
      <c r="R43" s="55"/>
      <c r="S43" s="55"/>
      <c r="T43" s="55">
        <v>0</v>
      </c>
      <c r="U43" s="55"/>
      <c r="V43" s="55"/>
      <c r="W43" s="55"/>
      <c r="X43" s="55">
        <v>0</v>
      </c>
      <c r="Y43" s="55"/>
      <c r="Z43" s="55"/>
      <c r="AA43" s="55"/>
      <c r="AB43" s="67" t="s">
        <v>45</v>
      </c>
      <c r="AC43" s="62"/>
      <c r="AD43" s="62"/>
      <c r="AE43" s="62"/>
      <c r="AF43" s="55">
        <v>0</v>
      </c>
      <c r="AG43" s="55"/>
      <c r="AH43" s="55"/>
      <c r="AI43" s="55"/>
      <c r="AJ43" s="55">
        <v>250000</v>
      </c>
      <c r="AK43" s="55"/>
      <c r="AL43" s="55"/>
      <c r="AM43" s="55"/>
      <c r="AN43" s="55">
        <v>250000</v>
      </c>
      <c r="AO43" s="55"/>
      <c r="AP43" s="55"/>
      <c r="AQ43" s="55"/>
      <c r="AR43" s="55">
        <v>0</v>
      </c>
      <c r="AS43" s="55"/>
      <c r="AT43" s="55"/>
      <c r="AU43" s="55"/>
      <c r="AV43" s="55">
        <v>0</v>
      </c>
      <c r="AW43" s="55"/>
      <c r="AX43" s="55"/>
      <c r="AY43" s="55"/>
      <c r="AZ43" s="13">
        <f t="shared" ref="AZ43:AZ47" si="9">SUM(D43:AY43)</f>
        <v>500000</v>
      </c>
      <c r="BA43" s="31"/>
    </row>
    <row r="44" spans="2:55" s="2" customFormat="1" x14ac:dyDescent="0.2">
      <c r="B44" s="45" t="s">
        <v>81</v>
      </c>
      <c r="C44" s="16"/>
      <c r="D44" s="65">
        <f>SUM(D45:D48)</f>
        <v>0</v>
      </c>
      <c r="E44" s="65"/>
      <c r="F44" s="65"/>
      <c r="G44" s="65"/>
      <c r="H44" s="65">
        <f>SUM(H45:H48)</f>
        <v>0</v>
      </c>
      <c r="I44" s="65"/>
      <c r="J44" s="65"/>
      <c r="K44" s="65"/>
      <c r="L44" s="65">
        <f>SUM(L45:L48)</f>
        <v>250000</v>
      </c>
      <c r="M44" s="65"/>
      <c r="N44" s="65"/>
      <c r="O44" s="65"/>
      <c r="P44" s="65">
        <f>SUM(P45:P48)</f>
        <v>250000</v>
      </c>
      <c r="Q44" s="65"/>
      <c r="R44" s="65"/>
      <c r="S44" s="65"/>
      <c r="T44" s="65">
        <f>SUM(T45:T48)</f>
        <v>0</v>
      </c>
      <c r="U44" s="65"/>
      <c r="V44" s="65"/>
      <c r="W44" s="65"/>
      <c r="X44" s="65">
        <f>SUM(X45:X48)</f>
        <v>250000</v>
      </c>
      <c r="Y44" s="65"/>
      <c r="Z44" s="65"/>
      <c r="AA44" s="65"/>
      <c r="AB44" s="59">
        <f>SUM(AB45:AB48)</f>
        <v>250000</v>
      </c>
      <c r="AC44" s="59"/>
      <c r="AD44" s="59"/>
      <c r="AE44" s="59"/>
      <c r="AF44" s="65">
        <f>SUM(AF45:AF48)</f>
        <v>0</v>
      </c>
      <c r="AG44" s="65"/>
      <c r="AH44" s="65"/>
      <c r="AI44" s="65"/>
      <c r="AJ44" s="65">
        <f>SUM(AJ45:AJ48)</f>
        <v>250000</v>
      </c>
      <c r="AK44" s="65"/>
      <c r="AL44" s="65"/>
      <c r="AM44" s="65"/>
      <c r="AN44" s="65">
        <f>SUM(AN45:AN48)</f>
        <v>3750000</v>
      </c>
      <c r="AO44" s="65"/>
      <c r="AP44" s="65"/>
      <c r="AQ44" s="65"/>
      <c r="AR44" s="65">
        <f>SUM(AR45:AR48)</f>
        <v>3500000</v>
      </c>
      <c r="AS44" s="65"/>
      <c r="AT44" s="65"/>
      <c r="AU44" s="65"/>
      <c r="AV44" s="65">
        <f>SUM(AV45:AV48)</f>
        <v>0</v>
      </c>
      <c r="AW44" s="65"/>
      <c r="AX44" s="65"/>
      <c r="AY44" s="65"/>
      <c r="AZ44" s="18">
        <f t="shared" si="9"/>
        <v>8500000</v>
      </c>
      <c r="BA44" s="31"/>
    </row>
    <row r="45" spans="2:55" s="2" customFormat="1" x14ac:dyDescent="0.2">
      <c r="B45" s="47" t="s">
        <v>82</v>
      </c>
      <c r="C45" s="43"/>
      <c r="D45" s="70">
        <v>0</v>
      </c>
      <c r="E45" s="70"/>
      <c r="F45" s="70"/>
      <c r="G45" s="70"/>
      <c r="H45" s="70">
        <v>0</v>
      </c>
      <c r="I45" s="70"/>
      <c r="J45" s="70"/>
      <c r="K45" s="70"/>
      <c r="L45" s="55">
        <v>250000</v>
      </c>
      <c r="M45" s="55"/>
      <c r="N45" s="55"/>
      <c r="O45" s="55"/>
      <c r="P45" s="55">
        <v>250000</v>
      </c>
      <c r="Q45" s="55"/>
      <c r="R45" s="55"/>
      <c r="S45" s="55"/>
      <c r="T45" s="70">
        <v>0</v>
      </c>
      <c r="U45" s="70"/>
      <c r="V45" s="70"/>
      <c r="W45" s="70"/>
      <c r="X45" s="70">
        <v>0</v>
      </c>
      <c r="Y45" s="70"/>
      <c r="Z45" s="70"/>
      <c r="AA45" s="70"/>
      <c r="AB45" s="67" t="s">
        <v>45</v>
      </c>
      <c r="AC45" s="62"/>
      <c r="AD45" s="62"/>
      <c r="AE45" s="62"/>
      <c r="AF45" s="67" t="s">
        <v>45</v>
      </c>
      <c r="AG45" s="62"/>
      <c r="AH45" s="62"/>
      <c r="AI45" s="62"/>
      <c r="AJ45" s="67" t="s">
        <v>45</v>
      </c>
      <c r="AK45" s="62"/>
      <c r="AL45" s="62"/>
      <c r="AM45" s="62"/>
      <c r="AN45" s="70">
        <v>0</v>
      </c>
      <c r="AO45" s="70"/>
      <c r="AP45" s="70"/>
      <c r="AQ45" s="70"/>
      <c r="AR45" s="70">
        <v>0</v>
      </c>
      <c r="AS45" s="70"/>
      <c r="AT45" s="70"/>
      <c r="AU45" s="70"/>
      <c r="AV45" s="70">
        <v>0</v>
      </c>
      <c r="AW45" s="70"/>
      <c r="AX45" s="70"/>
      <c r="AY45" s="70"/>
      <c r="AZ45" s="13">
        <f t="shared" si="9"/>
        <v>500000</v>
      </c>
      <c r="BA45" s="31"/>
    </row>
    <row r="46" spans="2:55" s="2" customFormat="1" x14ac:dyDescent="0.2">
      <c r="B46" s="22" t="s">
        <v>83</v>
      </c>
      <c r="D46" s="70">
        <v>0</v>
      </c>
      <c r="E46" s="70"/>
      <c r="F46" s="70"/>
      <c r="G46" s="70"/>
      <c r="H46" s="70">
        <v>0</v>
      </c>
      <c r="I46" s="70"/>
      <c r="J46" s="70"/>
      <c r="K46" s="70"/>
      <c r="L46" s="55">
        <v>0</v>
      </c>
      <c r="M46" s="55"/>
      <c r="N46" s="55"/>
      <c r="O46" s="55"/>
      <c r="P46" s="55">
        <v>0</v>
      </c>
      <c r="Q46" s="55"/>
      <c r="R46" s="55"/>
      <c r="S46" s="55"/>
      <c r="T46" s="55">
        <v>0</v>
      </c>
      <c r="U46" s="55"/>
      <c r="V46" s="55"/>
      <c r="W46" s="55"/>
      <c r="X46" s="55">
        <v>250000</v>
      </c>
      <c r="Y46" s="55"/>
      <c r="Z46" s="55"/>
      <c r="AA46" s="55"/>
      <c r="AB46" s="55">
        <v>250000</v>
      </c>
      <c r="AC46" s="55"/>
      <c r="AD46" s="55"/>
      <c r="AE46" s="55"/>
      <c r="AF46" s="67" t="s">
        <v>45</v>
      </c>
      <c r="AG46" s="62"/>
      <c r="AH46" s="62"/>
      <c r="AI46" s="62"/>
      <c r="AJ46" s="67" t="s">
        <v>45</v>
      </c>
      <c r="AK46" s="62"/>
      <c r="AL46" s="62"/>
      <c r="AM46" s="62"/>
      <c r="AN46" s="55">
        <v>0</v>
      </c>
      <c r="AO46" s="55"/>
      <c r="AP46" s="55"/>
      <c r="AQ46" s="55"/>
      <c r="AR46" s="55">
        <v>0</v>
      </c>
      <c r="AS46" s="55"/>
      <c r="AT46" s="55"/>
      <c r="AU46" s="55"/>
      <c r="AV46" s="55">
        <v>0</v>
      </c>
      <c r="AW46" s="55"/>
      <c r="AX46" s="55"/>
      <c r="AY46" s="55"/>
      <c r="AZ46" s="13">
        <f t="shared" si="9"/>
        <v>500000</v>
      </c>
      <c r="BA46" s="31"/>
    </row>
    <row r="47" spans="2:55" s="2" customFormat="1" x14ac:dyDescent="0.2">
      <c r="B47" s="22" t="s">
        <v>84</v>
      </c>
      <c r="D47" s="70">
        <v>0</v>
      </c>
      <c r="E47" s="70"/>
      <c r="F47" s="70"/>
      <c r="G47" s="70"/>
      <c r="H47" s="70">
        <v>0</v>
      </c>
      <c r="I47" s="70"/>
      <c r="J47" s="70"/>
      <c r="K47" s="70"/>
      <c r="L47" s="67" t="s">
        <v>45</v>
      </c>
      <c r="M47" s="62"/>
      <c r="N47" s="62"/>
      <c r="O47" s="62"/>
      <c r="P47" s="55">
        <v>0</v>
      </c>
      <c r="Q47" s="55"/>
      <c r="R47" s="55"/>
      <c r="S47" s="55"/>
      <c r="T47" s="55">
        <v>0</v>
      </c>
      <c r="U47" s="55"/>
      <c r="V47" s="55"/>
      <c r="W47" s="55"/>
      <c r="X47" s="67" t="s">
        <v>45</v>
      </c>
      <c r="Y47" s="62"/>
      <c r="Z47" s="62"/>
      <c r="AA47" s="62"/>
      <c r="AB47" s="67" t="s">
        <v>45</v>
      </c>
      <c r="AC47" s="62"/>
      <c r="AD47" s="62"/>
      <c r="AE47" s="62"/>
      <c r="AF47" s="67" t="s">
        <v>45</v>
      </c>
      <c r="AG47" s="62"/>
      <c r="AH47" s="62"/>
      <c r="AI47" s="62"/>
      <c r="AJ47" s="55">
        <v>250000</v>
      </c>
      <c r="AK47" s="55"/>
      <c r="AL47" s="55"/>
      <c r="AM47" s="55"/>
      <c r="AN47" s="55">
        <v>250000</v>
      </c>
      <c r="AO47" s="55"/>
      <c r="AP47" s="55"/>
      <c r="AQ47" s="55"/>
      <c r="AR47" s="55">
        <v>0</v>
      </c>
      <c r="AS47" s="55"/>
      <c r="AT47" s="55"/>
      <c r="AU47" s="55"/>
      <c r="AV47" s="67" t="s">
        <v>45</v>
      </c>
      <c r="AW47" s="62"/>
      <c r="AX47" s="62"/>
      <c r="AY47" s="62"/>
      <c r="AZ47" s="13">
        <f t="shared" si="9"/>
        <v>500000</v>
      </c>
      <c r="BA47" s="31"/>
    </row>
    <row r="48" spans="2:55" s="2" customFormat="1" x14ac:dyDescent="0.2">
      <c r="B48" s="45" t="s">
        <v>85</v>
      </c>
      <c r="C48" s="16"/>
      <c r="D48" s="65">
        <v>0</v>
      </c>
      <c r="E48" s="65"/>
      <c r="F48" s="65"/>
      <c r="G48" s="65"/>
      <c r="H48" s="65">
        <v>0</v>
      </c>
      <c r="I48" s="65"/>
      <c r="J48" s="65"/>
      <c r="K48" s="65"/>
      <c r="L48" s="65">
        <v>0</v>
      </c>
      <c r="M48" s="65"/>
      <c r="N48" s="65"/>
      <c r="O48" s="65"/>
      <c r="P48" s="65">
        <v>0</v>
      </c>
      <c r="Q48" s="65"/>
      <c r="R48" s="65"/>
      <c r="S48" s="65"/>
      <c r="T48" s="65">
        <v>0</v>
      </c>
      <c r="U48" s="65"/>
      <c r="V48" s="65"/>
      <c r="W48" s="65"/>
      <c r="X48" s="65">
        <v>0</v>
      </c>
      <c r="Y48" s="65"/>
      <c r="Z48" s="65"/>
      <c r="AA48" s="65"/>
      <c r="AB48" s="65">
        <v>0</v>
      </c>
      <c r="AC48" s="65"/>
      <c r="AD48" s="65"/>
      <c r="AE48" s="65"/>
      <c r="AF48" s="65">
        <v>0</v>
      </c>
      <c r="AG48" s="65"/>
      <c r="AH48" s="65"/>
      <c r="AI48" s="65"/>
      <c r="AJ48" s="65">
        <v>0</v>
      </c>
      <c r="AK48" s="65"/>
      <c r="AL48" s="65"/>
      <c r="AM48" s="65"/>
      <c r="AN48" s="65">
        <v>3500000</v>
      </c>
      <c r="AO48" s="65"/>
      <c r="AP48" s="65"/>
      <c r="AQ48" s="65"/>
      <c r="AR48" s="65">
        <v>3500000</v>
      </c>
      <c r="AS48" s="65"/>
      <c r="AT48" s="65"/>
      <c r="AU48" s="65"/>
      <c r="AV48" s="65">
        <v>0</v>
      </c>
      <c r="AW48" s="65"/>
      <c r="AX48" s="65"/>
      <c r="AY48" s="65"/>
      <c r="AZ48" s="18">
        <f t="shared" ref="AZ48" si="10">SUM(D48:AY48)</f>
        <v>7000000</v>
      </c>
      <c r="BA48" s="31"/>
    </row>
    <row r="49" spans="2:58" s="39" customFormat="1" ht="18" customHeight="1" x14ac:dyDescent="0.2">
      <c r="B49" s="48" t="s">
        <v>23</v>
      </c>
      <c r="C49" s="27"/>
      <c r="D49" s="69">
        <f>D50+D53+D56+D62+D64</f>
        <v>0</v>
      </c>
      <c r="E49" s="69"/>
      <c r="F49" s="69"/>
      <c r="G49" s="69"/>
      <c r="H49" s="69">
        <f>H50+H53+H56+H62+H64</f>
        <v>0</v>
      </c>
      <c r="I49" s="69"/>
      <c r="J49" s="69"/>
      <c r="K49" s="69"/>
      <c r="L49" s="69">
        <f>L50+L53+L56+L62+L64</f>
        <v>0</v>
      </c>
      <c r="M49" s="69"/>
      <c r="N49" s="69"/>
      <c r="O49" s="69"/>
      <c r="P49" s="69">
        <f>P50+P53+P56+P62+P64</f>
        <v>0</v>
      </c>
      <c r="Q49" s="69"/>
      <c r="R49" s="69"/>
      <c r="S49" s="69"/>
      <c r="T49" s="69">
        <f>T50+T53+T56+T62+T64</f>
        <v>0</v>
      </c>
      <c r="U49" s="69"/>
      <c r="V49" s="69"/>
      <c r="W49" s="69"/>
      <c r="X49" s="69">
        <f>X50+X53+X56+X62+X64</f>
        <v>0</v>
      </c>
      <c r="Y49" s="69"/>
      <c r="Z49" s="69"/>
      <c r="AA49" s="69"/>
      <c r="AB49" s="68">
        <f>AB50+AB53+AB56+AB62+AB64</f>
        <v>0</v>
      </c>
      <c r="AC49" s="68"/>
      <c r="AD49" s="68"/>
      <c r="AE49" s="68"/>
      <c r="AF49" s="69">
        <f>AF50+AF53+AF56+AF62+AF64</f>
        <v>0</v>
      </c>
      <c r="AG49" s="69"/>
      <c r="AH49" s="69"/>
      <c r="AI49" s="69"/>
      <c r="AJ49" s="69">
        <f>AJ50+AJ53+AJ56+AJ62+AJ64</f>
        <v>0</v>
      </c>
      <c r="AK49" s="69"/>
      <c r="AL49" s="69"/>
      <c r="AM49" s="69"/>
      <c r="AN49" s="69">
        <f>AN50+AN53+AN56+AN62+AN64</f>
        <v>0</v>
      </c>
      <c r="AO49" s="69"/>
      <c r="AP49" s="69"/>
      <c r="AQ49" s="69"/>
      <c r="AR49" s="69">
        <f>AR50+AR53+AR56+AR62+AR64</f>
        <v>0</v>
      </c>
      <c r="AS49" s="69"/>
      <c r="AT49" s="69"/>
      <c r="AU49" s="69"/>
      <c r="AV49" s="69">
        <f>AV50+AV53+AV56+AV62+AV64</f>
        <v>0</v>
      </c>
      <c r="AW49" s="69"/>
      <c r="AX49" s="69"/>
      <c r="AY49" s="69"/>
      <c r="AZ49" s="36">
        <f>AZ50+AZ53+AZ56+AZ62+AZ64</f>
        <v>0</v>
      </c>
      <c r="BA49" s="21"/>
      <c r="BB49" s="37"/>
      <c r="BC49" s="37"/>
      <c r="BD49" s="38"/>
      <c r="BE49" s="38"/>
      <c r="BF49" s="38"/>
    </row>
    <row r="50" spans="2:58" s="2" customFormat="1" x14ac:dyDescent="0.2">
      <c r="B50" s="45" t="s">
        <v>22</v>
      </c>
      <c r="C50" s="16"/>
      <c r="D50" s="65">
        <f>SUM(D51:D52)</f>
        <v>0</v>
      </c>
      <c r="E50" s="65"/>
      <c r="F50" s="65"/>
      <c r="G50" s="65"/>
      <c r="H50" s="65">
        <f>SUM(H51:H52)</f>
        <v>0</v>
      </c>
      <c r="I50" s="65"/>
      <c r="J50" s="65"/>
      <c r="K50" s="65"/>
      <c r="L50" s="65">
        <f>SUM(L51:L52)</f>
        <v>0</v>
      </c>
      <c r="M50" s="65"/>
      <c r="N50" s="65"/>
      <c r="O50" s="65"/>
      <c r="P50" s="65">
        <f>SUM(P51:P52)</f>
        <v>0</v>
      </c>
      <c r="Q50" s="65"/>
      <c r="R50" s="65"/>
      <c r="S50" s="65"/>
      <c r="T50" s="65">
        <f>SUM(T51:T52)</f>
        <v>0</v>
      </c>
      <c r="U50" s="65"/>
      <c r="V50" s="65"/>
      <c r="W50" s="65"/>
      <c r="X50" s="65">
        <f>SUM(X51:X52)</f>
        <v>0</v>
      </c>
      <c r="Y50" s="65"/>
      <c r="Z50" s="65"/>
      <c r="AA50" s="65"/>
      <c r="AB50" s="59">
        <f>SUM(AB51:AB52)</f>
        <v>0</v>
      </c>
      <c r="AC50" s="59"/>
      <c r="AD50" s="59"/>
      <c r="AE50" s="59"/>
      <c r="AF50" s="65">
        <f>SUM(AF51:AF52)</f>
        <v>0</v>
      </c>
      <c r="AG50" s="65"/>
      <c r="AH50" s="65"/>
      <c r="AI50" s="65"/>
      <c r="AJ50" s="65">
        <f>SUM(AJ51:AJ52)</f>
        <v>0</v>
      </c>
      <c r="AK50" s="65"/>
      <c r="AL50" s="65"/>
      <c r="AM50" s="65"/>
      <c r="AN50" s="65">
        <f>SUM(AN51:AN52)</f>
        <v>0</v>
      </c>
      <c r="AO50" s="65"/>
      <c r="AP50" s="65"/>
      <c r="AQ50" s="65"/>
      <c r="AR50" s="65">
        <f>SUM(AR51:AR52)</f>
        <v>0</v>
      </c>
      <c r="AS50" s="65"/>
      <c r="AT50" s="65"/>
      <c r="AU50" s="65"/>
      <c r="AV50" s="65">
        <f>SUM(AV51:AV52)</f>
        <v>0</v>
      </c>
      <c r="AW50" s="65"/>
      <c r="AX50" s="65"/>
      <c r="AY50" s="65"/>
      <c r="AZ50" s="18">
        <f>SUM(AZ51:AZ52)</f>
        <v>0</v>
      </c>
      <c r="BA50" s="32"/>
      <c r="BB50" s="24"/>
      <c r="BC50" s="24"/>
      <c r="BD50" s="24"/>
      <c r="BE50" s="24"/>
      <c r="BF50" s="24"/>
    </row>
    <row r="51" spans="2:58" s="2" customFormat="1" x14ac:dyDescent="0.2">
      <c r="B51" s="22" t="s">
        <v>24</v>
      </c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67"/>
      <c r="AC51" s="62"/>
      <c r="AD51" s="62"/>
      <c r="AE51" s="62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13"/>
      <c r="BA51" s="31"/>
    </row>
    <row r="52" spans="2:58" s="2" customFormat="1" x14ac:dyDescent="0.2">
      <c r="B52" s="22" t="s">
        <v>25</v>
      </c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67"/>
      <c r="AC52" s="62"/>
      <c r="AD52" s="62"/>
      <c r="AE52" s="62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13"/>
      <c r="BA52" s="31"/>
    </row>
    <row r="53" spans="2:58" s="2" customFormat="1" x14ac:dyDescent="0.2">
      <c r="B53" s="45" t="s">
        <v>26</v>
      </c>
      <c r="C53" s="16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59"/>
      <c r="AC53" s="59"/>
      <c r="AD53" s="59"/>
      <c r="AE53" s="59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18"/>
      <c r="BA53" s="21"/>
    </row>
    <row r="54" spans="2:58" s="2" customFormat="1" x14ac:dyDescent="0.2">
      <c r="B54" s="22" t="s">
        <v>27</v>
      </c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62"/>
      <c r="AC54" s="62"/>
      <c r="AD54" s="62"/>
      <c r="AE54" s="62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13"/>
      <c r="BA54" s="31"/>
    </row>
    <row r="55" spans="2:58" s="2" customFormat="1" x14ac:dyDescent="0.2">
      <c r="B55" s="22" t="s">
        <v>28</v>
      </c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67"/>
      <c r="AC55" s="62"/>
      <c r="AD55" s="62"/>
      <c r="AE55" s="62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13"/>
      <c r="BA55" s="31"/>
    </row>
    <row r="56" spans="2:58" s="2" customFormat="1" x14ac:dyDescent="0.2">
      <c r="B56" s="45" t="s">
        <v>29</v>
      </c>
      <c r="C56" s="16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59"/>
      <c r="AC56" s="59"/>
      <c r="AD56" s="59"/>
      <c r="AE56" s="59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18"/>
      <c r="BA56" s="21"/>
    </row>
    <row r="57" spans="2:58" s="2" customFormat="1" x14ac:dyDescent="0.2">
      <c r="B57" s="22" t="s">
        <v>30</v>
      </c>
      <c r="C57" s="13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62"/>
      <c r="AC57" s="62"/>
      <c r="AD57" s="62"/>
      <c r="AE57" s="62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13"/>
      <c r="BA57" s="31"/>
    </row>
    <row r="58" spans="2:58" s="2" customFormat="1" x14ac:dyDescent="0.2">
      <c r="B58" s="22" t="s">
        <v>31</v>
      </c>
      <c r="C58" s="13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3"/>
      <c r="AC58" s="63"/>
      <c r="AD58" s="63"/>
      <c r="AE58" s="63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13"/>
      <c r="BA58" s="33"/>
      <c r="BB58" s="22"/>
    </row>
    <row r="59" spans="2:58" s="2" customFormat="1" x14ac:dyDescent="0.2">
      <c r="B59" s="22" t="s">
        <v>32</v>
      </c>
      <c r="C59" s="13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3"/>
      <c r="AC59" s="63"/>
      <c r="AD59" s="63"/>
      <c r="AE59" s="63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13"/>
      <c r="BA59" s="34"/>
      <c r="BB59" s="22"/>
    </row>
    <row r="60" spans="2:58" s="2" customFormat="1" ht="13.25" customHeight="1" x14ac:dyDescent="0.2">
      <c r="B60" s="22" t="s">
        <v>33</v>
      </c>
      <c r="C60" s="13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3"/>
      <c r="AC60" s="63"/>
      <c r="AD60" s="63"/>
      <c r="AE60" s="63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13"/>
      <c r="BA60" s="34"/>
      <c r="BB60" s="22"/>
    </row>
    <row r="61" spans="2:58" s="2" customFormat="1" x14ac:dyDescent="0.2">
      <c r="B61" s="22" t="s">
        <v>34</v>
      </c>
      <c r="C61" s="13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3"/>
      <c r="AC61" s="63"/>
      <c r="AD61" s="63"/>
      <c r="AE61" s="63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6"/>
      <c r="AW61" s="66"/>
      <c r="AX61" s="66"/>
      <c r="AY61" s="66"/>
      <c r="AZ61" s="13"/>
      <c r="BA61" s="35"/>
    </row>
    <row r="62" spans="2:58" s="2" customFormat="1" x14ac:dyDescent="0.2">
      <c r="B62" s="45" t="s">
        <v>35</v>
      </c>
      <c r="C62" s="16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59"/>
      <c r="AC62" s="59"/>
      <c r="AD62" s="59"/>
      <c r="AE62" s="59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18"/>
      <c r="BA62" s="21"/>
    </row>
    <row r="63" spans="2:58" s="2" customFormat="1" x14ac:dyDescent="0.2">
      <c r="B63" s="22" t="s">
        <v>36</v>
      </c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62"/>
      <c r="AC63" s="62"/>
      <c r="AD63" s="62"/>
      <c r="AE63" s="62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13"/>
      <c r="BA63" s="31"/>
    </row>
    <row r="64" spans="2:58" s="2" customFormat="1" x14ac:dyDescent="0.2">
      <c r="B64" s="45" t="s">
        <v>21</v>
      </c>
      <c r="C64" s="16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59"/>
      <c r="AC64" s="59"/>
      <c r="AD64" s="59"/>
      <c r="AE64" s="59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18"/>
      <c r="BA64" s="21"/>
    </row>
    <row r="65" spans="2:55" s="2" customFormat="1" x14ac:dyDescent="0.2">
      <c r="B65" s="22" t="s">
        <v>37</v>
      </c>
      <c r="C65" s="13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3"/>
      <c r="AC65" s="63"/>
      <c r="AD65" s="63"/>
      <c r="AE65" s="63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13"/>
      <c r="BA65" s="31"/>
    </row>
    <row r="66" spans="2:55" s="2" customFormat="1" x14ac:dyDescent="0.2">
      <c r="B66" s="22" t="s">
        <v>38</v>
      </c>
      <c r="C66" s="13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62"/>
      <c r="AC66" s="62"/>
      <c r="AD66" s="62"/>
      <c r="AE66" s="62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13"/>
      <c r="BA66" s="31"/>
    </row>
    <row r="67" spans="2:55" s="2" customFormat="1" x14ac:dyDescent="0.2">
      <c r="B67" s="22" t="s">
        <v>39</v>
      </c>
      <c r="C67" s="13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62"/>
      <c r="AC67" s="62"/>
      <c r="AD67" s="62"/>
      <c r="AE67" s="62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13"/>
      <c r="BA67" s="31"/>
    </row>
    <row r="68" spans="2:55" s="2" customFormat="1" x14ac:dyDescent="0.2">
      <c r="B68" s="22" t="s">
        <v>40</v>
      </c>
      <c r="C68" s="13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62"/>
      <c r="AC68" s="62"/>
      <c r="AD68" s="62"/>
      <c r="AE68" s="62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13"/>
      <c r="BA68" s="31"/>
    </row>
    <row r="69" spans="2:55" s="2" customFormat="1" x14ac:dyDescent="0.2">
      <c r="B69" s="22" t="s">
        <v>41</v>
      </c>
      <c r="C69" s="13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62"/>
      <c r="AC69" s="62"/>
      <c r="AD69" s="62"/>
      <c r="AE69" s="62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13"/>
      <c r="BA69" s="31"/>
    </row>
    <row r="70" spans="2:55" s="2" customFormat="1" x14ac:dyDescent="0.2">
      <c r="B70" s="22" t="s">
        <v>42</v>
      </c>
      <c r="C70" s="13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62"/>
      <c r="AC70" s="62"/>
      <c r="AD70" s="62"/>
      <c r="AE70" s="62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13"/>
      <c r="BA70" s="31"/>
    </row>
    <row r="71" spans="2:55" s="2" customFormat="1" x14ac:dyDescent="0.2">
      <c r="B71" s="22" t="s">
        <v>43</v>
      </c>
      <c r="C71" s="13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62"/>
      <c r="AC71" s="62"/>
      <c r="AD71" s="62"/>
      <c r="AE71" s="62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13"/>
      <c r="BA71" s="31"/>
    </row>
    <row r="72" spans="2:55" s="2" customFormat="1" x14ac:dyDescent="0.2">
      <c r="B72" s="49" t="s">
        <v>44</v>
      </c>
      <c r="C72" s="23"/>
      <c r="D72" s="61">
        <f>D7+D49</f>
        <v>1120000</v>
      </c>
      <c r="E72" s="61"/>
      <c r="F72" s="61"/>
      <c r="G72" s="61"/>
      <c r="H72" s="61">
        <f>H7+H49</f>
        <v>920000</v>
      </c>
      <c r="I72" s="61"/>
      <c r="J72" s="61"/>
      <c r="K72" s="61"/>
      <c r="L72" s="61">
        <f>L7+L49</f>
        <v>1920000</v>
      </c>
      <c r="M72" s="61"/>
      <c r="N72" s="61"/>
      <c r="O72" s="61"/>
      <c r="P72" s="61">
        <f>P7+P49</f>
        <v>1170000</v>
      </c>
      <c r="Q72" s="61"/>
      <c r="R72" s="61"/>
      <c r="S72" s="61"/>
      <c r="T72" s="61">
        <f>T7+T49</f>
        <v>1220000</v>
      </c>
      <c r="U72" s="61"/>
      <c r="V72" s="61"/>
      <c r="W72" s="61"/>
      <c r="X72" s="61">
        <f>X7+X49</f>
        <v>1870000</v>
      </c>
      <c r="Y72" s="61"/>
      <c r="Z72" s="61"/>
      <c r="AA72" s="61"/>
      <c r="AB72" s="60">
        <f>AB7+AB49</f>
        <v>1645000</v>
      </c>
      <c r="AC72" s="60"/>
      <c r="AD72" s="60"/>
      <c r="AE72" s="60"/>
      <c r="AF72" s="61">
        <f>AF7+AF49</f>
        <v>1045000</v>
      </c>
      <c r="AG72" s="61"/>
      <c r="AH72" s="61"/>
      <c r="AI72" s="61"/>
      <c r="AJ72" s="61">
        <f>AJ7+AJ49</f>
        <v>1795000</v>
      </c>
      <c r="AK72" s="61"/>
      <c r="AL72" s="61"/>
      <c r="AM72" s="61"/>
      <c r="AN72" s="61">
        <f>AN7+AN49</f>
        <v>5195000</v>
      </c>
      <c r="AO72" s="61"/>
      <c r="AP72" s="61"/>
      <c r="AQ72" s="61"/>
      <c r="AR72" s="61">
        <f>AR7+AR49</f>
        <v>8095000</v>
      </c>
      <c r="AS72" s="61"/>
      <c r="AT72" s="61"/>
      <c r="AU72" s="61"/>
      <c r="AV72" s="61">
        <f>AV7+AV49</f>
        <v>1005000</v>
      </c>
      <c r="AW72" s="61"/>
      <c r="AX72" s="61"/>
      <c r="AY72" s="61"/>
      <c r="AZ72" s="40">
        <f>AZ7+AZ49</f>
        <v>27000000</v>
      </c>
      <c r="BA72" s="29">
        <f>AZ72/AZ5</f>
        <v>2.7E-2</v>
      </c>
      <c r="BB72" s="28" t="s">
        <v>20</v>
      </c>
      <c r="BC72" s="19"/>
    </row>
    <row r="73" spans="2:55" s="2" customFormat="1" x14ac:dyDescent="0.2">
      <c r="AB73" s="52"/>
      <c r="AC73" s="52"/>
      <c r="AD73" s="52"/>
      <c r="AE73" s="52"/>
      <c r="AZ73" s="2">
        <f t="shared" ref="AZ73:AZ85" si="11">SUM(D73:AV73)</f>
        <v>0</v>
      </c>
      <c r="BA73" s="31"/>
    </row>
    <row r="74" spans="2:55" s="2" customFormat="1" x14ac:dyDescent="0.2">
      <c r="AB74" s="52"/>
      <c r="AC74" s="52"/>
      <c r="AD74" s="52"/>
      <c r="AE74" s="52"/>
      <c r="AZ74" s="2">
        <f t="shared" si="11"/>
        <v>0</v>
      </c>
      <c r="BA74" s="31"/>
    </row>
    <row r="75" spans="2:55" s="2" customFormat="1" x14ac:dyDescent="0.2">
      <c r="AB75" s="52"/>
      <c r="AC75" s="52"/>
      <c r="AD75" s="52"/>
      <c r="AE75" s="52"/>
      <c r="AZ75" s="2">
        <f t="shared" si="11"/>
        <v>0</v>
      </c>
      <c r="BA75" s="31"/>
    </row>
    <row r="76" spans="2:55" s="2" customFormat="1" x14ac:dyDescent="0.2">
      <c r="AB76" s="52"/>
      <c r="AC76" s="52"/>
      <c r="AD76" s="52"/>
      <c r="AE76" s="52"/>
      <c r="AZ76" s="2">
        <f t="shared" si="11"/>
        <v>0</v>
      </c>
      <c r="BA76" s="31"/>
    </row>
    <row r="77" spans="2:55" s="2" customFormat="1" x14ac:dyDescent="0.2">
      <c r="AB77" s="52"/>
      <c r="AC77" s="52"/>
      <c r="AD77" s="52"/>
      <c r="AE77" s="52"/>
      <c r="AZ77" s="2">
        <f t="shared" si="11"/>
        <v>0</v>
      </c>
      <c r="BA77" s="31"/>
    </row>
    <row r="78" spans="2:55" s="2" customFormat="1" x14ac:dyDescent="0.2">
      <c r="AB78" s="52"/>
      <c r="AC78" s="52"/>
      <c r="AD78" s="52"/>
      <c r="AE78" s="52"/>
      <c r="AZ78" s="2">
        <f t="shared" si="11"/>
        <v>0</v>
      </c>
      <c r="BA78" s="31"/>
    </row>
    <row r="79" spans="2:55" s="2" customFormat="1" x14ac:dyDescent="0.2">
      <c r="AB79" s="52"/>
      <c r="AC79" s="52"/>
      <c r="AD79" s="52"/>
      <c r="AE79" s="52"/>
      <c r="AZ79" s="2">
        <f t="shared" si="11"/>
        <v>0</v>
      </c>
      <c r="BA79" s="31"/>
    </row>
    <row r="80" spans="2:55" s="2" customFormat="1" x14ac:dyDescent="0.2">
      <c r="AB80" s="52"/>
      <c r="AC80" s="52"/>
      <c r="AD80" s="52"/>
      <c r="AE80" s="52"/>
      <c r="AZ80" s="2">
        <f t="shared" si="11"/>
        <v>0</v>
      </c>
      <c r="BA80" s="31"/>
    </row>
    <row r="81" spans="28:53" s="2" customFormat="1" x14ac:dyDescent="0.2">
      <c r="AB81" s="52"/>
      <c r="AC81" s="52"/>
      <c r="AD81" s="52"/>
      <c r="AE81" s="52"/>
      <c r="AZ81" s="2">
        <f t="shared" si="11"/>
        <v>0</v>
      </c>
      <c r="BA81" s="31"/>
    </row>
    <row r="82" spans="28:53" s="2" customFormat="1" x14ac:dyDescent="0.2">
      <c r="AB82" s="52"/>
      <c r="AC82" s="52"/>
      <c r="AD82" s="52"/>
      <c r="AE82" s="52"/>
      <c r="AZ82" s="2">
        <f t="shared" si="11"/>
        <v>0</v>
      </c>
      <c r="BA82" s="31"/>
    </row>
    <row r="83" spans="28:53" s="2" customFormat="1" x14ac:dyDescent="0.2">
      <c r="AB83" s="52"/>
      <c r="AC83" s="52"/>
      <c r="AD83" s="52"/>
      <c r="AE83" s="52"/>
      <c r="AZ83" s="2">
        <f t="shared" si="11"/>
        <v>0</v>
      </c>
      <c r="BA83" s="31"/>
    </row>
    <row r="84" spans="28:53" s="2" customFormat="1" x14ac:dyDescent="0.2">
      <c r="AB84" s="52"/>
      <c r="AC84" s="52"/>
      <c r="AD84" s="52"/>
      <c r="AE84" s="52"/>
      <c r="AZ84" s="2">
        <f t="shared" si="11"/>
        <v>0</v>
      </c>
      <c r="BA84" s="31"/>
    </row>
    <row r="85" spans="28:53" s="2" customFormat="1" x14ac:dyDescent="0.2">
      <c r="AB85" s="52"/>
      <c r="AC85" s="52"/>
      <c r="AD85" s="52"/>
      <c r="AE85" s="52"/>
      <c r="AZ85" s="2">
        <f t="shared" si="11"/>
        <v>0</v>
      </c>
      <c r="BA85" s="31"/>
    </row>
    <row r="86" spans="28:53" s="2" customFormat="1" x14ac:dyDescent="0.2">
      <c r="AB86" s="52"/>
      <c r="AC86" s="52"/>
      <c r="AD86" s="52"/>
      <c r="AE86" s="52"/>
      <c r="BA86" s="31"/>
    </row>
    <row r="87" spans="28:53" s="2" customFormat="1" x14ac:dyDescent="0.2">
      <c r="AB87" s="52"/>
      <c r="AC87" s="52"/>
      <c r="AD87" s="52"/>
      <c r="AE87" s="52"/>
      <c r="BA87" s="31"/>
    </row>
    <row r="88" spans="28:53" s="2" customFormat="1" x14ac:dyDescent="0.2">
      <c r="AB88" s="52"/>
      <c r="AC88" s="52"/>
      <c r="AD88" s="52"/>
      <c r="AE88" s="52"/>
      <c r="BA88" s="31"/>
    </row>
    <row r="89" spans="28:53" s="2" customFormat="1" x14ac:dyDescent="0.2">
      <c r="AB89" s="52"/>
      <c r="AC89" s="52"/>
      <c r="AD89" s="52"/>
      <c r="AE89" s="52"/>
      <c r="BA89" s="31"/>
    </row>
    <row r="90" spans="28:53" s="2" customFormat="1" x14ac:dyDescent="0.2">
      <c r="AB90" s="52"/>
      <c r="AC90" s="52"/>
      <c r="AD90" s="52"/>
      <c r="AE90" s="52"/>
      <c r="BA90" s="31"/>
    </row>
    <row r="91" spans="28:53" s="2" customFormat="1" x14ac:dyDescent="0.2">
      <c r="AB91" s="52"/>
      <c r="AC91" s="52"/>
      <c r="AD91" s="52"/>
      <c r="AE91" s="52"/>
      <c r="BA91" s="31"/>
    </row>
    <row r="92" spans="28:53" s="2" customFormat="1" x14ac:dyDescent="0.2">
      <c r="AB92" s="52"/>
      <c r="AC92" s="52"/>
      <c r="AD92" s="52"/>
      <c r="AE92" s="52"/>
      <c r="BA92" s="31"/>
    </row>
    <row r="93" spans="28:53" s="2" customFormat="1" x14ac:dyDescent="0.2">
      <c r="AB93" s="52"/>
      <c r="AC93" s="52"/>
      <c r="AD93" s="52"/>
      <c r="AE93" s="52"/>
      <c r="BA93" s="31"/>
    </row>
    <row r="94" spans="28:53" s="2" customFormat="1" x14ac:dyDescent="0.2">
      <c r="AB94" s="52"/>
      <c r="AC94" s="52"/>
      <c r="AD94" s="52"/>
      <c r="AE94" s="52"/>
      <c r="BA94" s="31"/>
    </row>
    <row r="95" spans="28:53" s="2" customFormat="1" x14ac:dyDescent="0.2">
      <c r="AB95" s="52"/>
      <c r="AC95" s="52"/>
      <c r="AD95" s="52"/>
      <c r="AE95" s="52"/>
      <c r="BA95" s="31"/>
    </row>
    <row r="96" spans="28:53" s="2" customFormat="1" x14ac:dyDescent="0.2">
      <c r="AB96" s="52"/>
      <c r="AC96" s="52"/>
      <c r="AD96" s="52"/>
      <c r="AE96" s="52"/>
      <c r="BA96" s="31"/>
    </row>
    <row r="97" spans="28:53" s="2" customFormat="1" x14ac:dyDescent="0.2">
      <c r="AB97" s="52"/>
      <c r="AC97" s="52"/>
      <c r="AD97" s="52"/>
      <c r="AE97" s="52"/>
      <c r="BA97" s="31"/>
    </row>
    <row r="98" spans="28:53" s="2" customFormat="1" x14ac:dyDescent="0.2">
      <c r="AB98" s="52"/>
      <c r="AC98" s="52"/>
      <c r="AD98" s="52"/>
      <c r="AE98" s="52"/>
      <c r="BA98" s="31"/>
    </row>
    <row r="99" spans="28:53" s="2" customFormat="1" x14ac:dyDescent="0.2">
      <c r="AB99" s="52"/>
      <c r="AC99" s="52"/>
      <c r="AD99" s="52"/>
      <c r="AE99" s="52"/>
      <c r="BA99" s="31"/>
    </row>
    <row r="100" spans="28:53" s="2" customFormat="1" x14ac:dyDescent="0.2">
      <c r="AB100" s="52"/>
      <c r="AC100" s="52"/>
      <c r="AD100" s="52"/>
      <c r="AE100" s="52"/>
      <c r="BA100" s="31"/>
    </row>
    <row r="101" spans="28:53" s="2" customFormat="1" x14ac:dyDescent="0.2">
      <c r="AB101" s="52"/>
      <c r="AC101" s="52"/>
      <c r="AD101" s="52"/>
      <c r="AE101" s="52"/>
      <c r="BA101" s="31"/>
    </row>
    <row r="102" spans="28:53" s="2" customFormat="1" x14ac:dyDescent="0.2">
      <c r="AB102" s="52"/>
      <c r="AC102" s="52"/>
      <c r="AD102" s="52"/>
      <c r="AE102" s="52"/>
      <c r="BA102" s="31"/>
    </row>
    <row r="103" spans="28:53" s="2" customFormat="1" x14ac:dyDescent="0.2">
      <c r="AB103" s="52"/>
      <c r="AC103" s="52"/>
      <c r="AD103" s="52"/>
      <c r="AE103" s="52"/>
      <c r="BA103" s="31"/>
    </row>
    <row r="104" spans="28:53" s="2" customFormat="1" x14ac:dyDescent="0.2">
      <c r="AB104" s="52"/>
      <c r="AC104" s="52"/>
      <c r="AD104" s="52"/>
      <c r="AE104" s="52"/>
      <c r="BA104" s="31"/>
    </row>
    <row r="105" spans="28:53" s="2" customFormat="1" x14ac:dyDescent="0.2">
      <c r="AB105" s="52"/>
      <c r="AC105" s="52"/>
      <c r="AD105" s="52"/>
      <c r="AE105" s="52"/>
      <c r="BA105" s="31"/>
    </row>
    <row r="106" spans="28:53" s="2" customFormat="1" x14ac:dyDescent="0.2">
      <c r="AB106" s="52"/>
      <c r="AC106" s="52"/>
      <c r="AD106" s="52"/>
      <c r="AE106" s="52"/>
      <c r="BA106" s="31"/>
    </row>
    <row r="107" spans="28:53" s="2" customFormat="1" x14ac:dyDescent="0.2">
      <c r="AB107" s="52"/>
      <c r="AC107" s="52"/>
      <c r="AD107" s="52"/>
      <c r="AE107" s="52"/>
      <c r="BA107" s="31"/>
    </row>
    <row r="108" spans="28:53" s="2" customFormat="1" x14ac:dyDescent="0.2">
      <c r="AB108" s="52"/>
      <c r="AC108" s="52"/>
      <c r="AD108" s="52"/>
      <c r="AE108" s="52"/>
      <c r="BA108" s="31"/>
    </row>
    <row r="109" spans="28:53" s="2" customFormat="1" x14ac:dyDescent="0.2">
      <c r="AB109" s="52"/>
      <c r="AC109" s="52"/>
      <c r="AD109" s="52"/>
      <c r="AE109" s="52"/>
      <c r="BA109" s="31"/>
    </row>
    <row r="110" spans="28:53" s="2" customFormat="1" x14ac:dyDescent="0.2">
      <c r="AB110" s="52"/>
      <c r="AC110" s="52"/>
      <c r="AD110" s="52"/>
      <c r="AE110" s="52"/>
      <c r="BA110" s="31"/>
    </row>
    <row r="111" spans="28:53" s="2" customFormat="1" x14ac:dyDescent="0.2">
      <c r="AB111" s="52"/>
      <c r="AC111" s="52"/>
      <c r="AD111" s="52"/>
      <c r="AE111" s="52"/>
      <c r="BA111" s="31"/>
    </row>
    <row r="112" spans="28:53" s="2" customFormat="1" x14ac:dyDescent="0.2">
      <c r="AB112" s="52"/>
      <c r="AC112" s="52"/>
      <c r="AD112" s="52"/>
      <c r="AE112" s="52"/>
      <c r="BA112" s="31"/>
    </row>
    <row r="113" spans="28:53" s="2" customFormat="1" x14ac:dyDescent="0.2">
      <c r="AB113" s="52"/>
      <c r="AC113" s="52"/>
      <c r="AD113" s="52"/>
      <c r="AE113" s="52"/>
      <c r="BA113" s="31"/>
    </row>
    <row r="114" spans="28:53" s="2" customFormat="1" x14ac:dyDescent="0.2">
      <c r="AB114" s="52"/>
      <c r="AC114" s="52"/>
      <c r="AD114" s="52"/>
      <c r="AE114" s="52"/>
      <c r="BA114" s="31"/>
    </row>
    <row r="115" spans="28:53" s="2" customFormat="1" x14ac:dyDescent="0.2">
      <c r="AB115" s="52"/>
      <c r="AC115" s="52"/>
      <c r="AD115" s="52"/>
      <c r="AE115" s="52"/>
      <c r="BA115" s="31"/>
    </row>
    <row r="116" spans="28:53" s="2" customFormat="1" x14ac:dyDescent="0.2">
      <c r="AB116" s="52"/>
      <c r="AC116" s="52"/>
      <c r="AD116" s="52"/>
      <c r="AE116" s="52"/>
      <c r="BA116" s="31"/>
    </row>
    <row r="117" spans="28:53" s="2" customFormat="1" x14ac:dyDescent="0.2">
      <c r="AB117" s="52"/>
      <c r="AC117" s="52"/>
      <c r="AD117" s="52"/>
      <c r="AE117" s="52"/>
      <c r="BA117" s="31"/>
    </row>
    <row r="118" spans="28:53" s="2" customFormat="1" x14ac:dyDescent="0.2">
      <c r="AB118" s="52"/>
      <c r="AC118" s="52"/>
      <c r="AD118" s="52"/>
      <c r="AE118" s="52"/>
      <c r="BA118" s="31"/>
    </row>
    <row r="119" spans="28:53" s="2" customFormat="1" x14ac:dyDescent="0.2">
      <c r="AB119" s="52"/>
      <c r="AC119" s="52"/>
      <c r="AD119" s="52"/>
      <c r="AE119" s="52"/>
      <c r="BA119" s="31"/>
    </row>
    <row r="120" spans="28:53" s="2" customFormat="1" x14ac:dyDescent="0.2">
      <c r="AB120" s="52"/>
      <c r="AC120" s="52"/>
      <c r="AD120" s="52"/>
      <c r="AE120" s="52"/>
      <c r="BA120" s="31"/>
    </row>
    <row r="121" spans="28:53" s="2" customFormat="1" x14ac:dyDescent="0.2">
      <c r="AB121" s="52"/>
      <c r="AC121" s="52"/>
      <c r="AD121" s="52"/>
      <c r="AE121" s="52"/>
      <c r="BA121" s="31"/>
    </row>
    <row r="122" spans="28:53" s="2" customFormat="1" x14ac:dyDescent="0.2">
      <c r="AB122" s="52"/>
      <c r="AC122" s="52"/>
      <c r="AD122" s="52"/>
      <c r="AE122" s="52"/>
      <c r="BA122" s="31"/>
    </row>
    <row r="123" spans="28:53" s="2" customFormat="1" x14ac:dyDescent="0.2">
      <c r="AB123" s="52"/>
      <c r="AC123" s="52"/>
      <c r="AD123" s="52"/>
      <c r="AE123" s="52"/>
      <c r="BA123" s="31"/>
    </row>
    <row r="124" spans="28:53" s="2" customFormat="1" x14ac:dyDescent="0.2">
      <c r="AB124" s="52"/>
      <c r="AC124" s="52"/>
      <c r="AD124" s="52"/>
      <c r="AE124" s="52"/>
      <c r="BA124" s="31"/>
    </row>
    <row r="125" spans="28:53" s="2" customFormat="1" x14ac:dyDescent="0.2">
      <c r="AB125" s="52"/>
      <c r="AC125" s="52"/>
      <c r="AD125" s="52"/>
      <c r="AE125" s="52"/>
      <c r="BA125" s="31"/>
    </row>
    <row r="126" spans="28:53" s="2" customFormat="1" x14ac:dyDescent="0.2">
      <c r="AB126" s="52"/>
      <c r="AC126" s="52"/>
      <c r="AD126" s="52"/>
      <c r="AE126" s="52"/>
      <c r="BA126" s="31"/>
    </row>
    <row r="127" spans="28:53" s="2" customFormat="1" x14ac:dyDescent="0.2">
      <c r="AB127" s="52"/>
      <c r="AC127" s="52"/>
      <c r="AD127" s="52"/>
      <c r="AE127" s="52"/>
      <c r="BA127" s="31"/>
    </row>
    <row r="128" spans="28:53" s="2" customFormat="1" x14ac:dyDescent="0.2">
      <c r="AB128" s="52"/>
      <c r="AC128" s="52"/>
      <c r="AD128" s="52"/>
      <c r="AE128" s="52"/>
      <c r="BA128" s="31"/>
    </row>
    <row r="129" spans="28:53" s="2" customFormat="1" x14ac:dyDescent="0.2">
      <c r="AB129" s="52"/>
      <c r="AC129" s="52"/>
      <c r="AD129" s="52"/>
      <c r="AE129" s="52"/>
      <c r="BA129" s="31"/>
    </row>
    <row r="130" spans="28:53" s="2" customFormat="1" x14ac:dyDescent="0.2">
      <c r="AB130" s="52"/>
      <c r="AC130" s="52"/>
      <c r="AD130" s="52"/>
      <c r="AE130" s="52"/>
      <c r="BA130" s="31"/>
    </row>
    <row r="131" spans="28:53" s="2" customFormat="1" x14ac:dyDescent="0.2">
      <c r="AB131" s="52"/>
      <c r="AC131" s="52"/>
      <c r="AD131" s="52"/>
      <c r="AE131" s="52"/>
      <c r="BA131" s="31"/>
    </row>
    <row r="132" spans="28:53" s="2" customFormat="1" x14ac:dyDescent="0.2">
      <c r="AB132" s="52"/>
      <c r="AC132" s="52"/>
      <c r="AD132" s="52"/>
      <c r="AE132" s="52"/>
      <c r="BA132" s="31"/>
    </row>
    <row r="133" spans="28:53" s="2" customFormat="1" x14ac:dyDescent="0.2">
      <c r="AB133" s="52"/>
      <c r="AC133" s="52"/>
      <c r="AD133" s="52"/>
      <c r="AE133" s="52"/>
      <c r="BA133" s="31"/>
    </row>
    <row r="134" spans="28:53" s="2" customFormat="1" x14ac:dyDescent="0.2">
      <c r="AB134" s="52"/>
      <c r="AC134" s="52"/>
      <c r="AD134" s="52"/>
      <c r="AE134" s="52"/>
      <c r="BA134" s="31"/>
    </row>
  </sheetData>
  <mergeCells count="830">
    <mergeCell ref="AR38:AU38"/>
    <mergeCell ref="AV38:AY38"/>
    <mergeCell ref="D38:G38"/>
    <mergeCell ref="H38:K38"/>
    <mergeCell ref="L38:O38"/>
    <mergeCell ref="P38:S38"/>
    <mergeCell ref="T38:W38"/>
    <mergeCell ref="X38:AA38"/>
    <mergeCell ref="AB38:AE38"/>
    <mergeCell ref="AF38:AI38"/>
    <mergeCell ref="AJ38:AM38"/>
    <mergeCell ref="X14:AA14"/>
    <mergeCell ref="AB14:AE14"/>
    <mergeCell ref="AF14:AI14"/>
    <mergeCell ref="AJ14:AM14"/>
    <mergeCell ref="AN14:AQ14"/>
    <mergeCell ref="AR14:AU14"/>
    <mergeCell ref="AV14:AY14"/>
    <mergeCell ref="D22:G22"/>
    <mergeCell ref="H22:K22"/>
    <mergeCell ref="L22:O22"/>
    <mergeCell ref="P22:S22"/>
    <mergeCell ref="T22:W22"/>
    <mergeCell ref="X22:AA22"/>
    <mergeCell ref="AF22:AI22"/>
    <mergeCell ref="AJ22:AM22"/>
    <mergeCell ref="AN22:AQ22"/>
    <mergeCell ref="B2:B5"/>
    <mergeCell ref="D2:G2"/>
    <mergeCell ref="H2:K2"/>
    <mergeCell ref="L2:O2"/>
    <mergeCell ref="P2:S2"/>
    <mergeCell ref="T2:W2"/>
    <mergeCell ref="D14:G14"/>
    <mergeCell ref="H14:K14"/>
    <mergeCell ref="L14:O14"/>
    <mergeCell ref="P14:S14"/>
    <mergeCell ref="T14:W14"/>
    <mergeCell ref="D5:G5"/>
    <mergeCell ref="H5:K5"/>
    <mergeCell ref="L5:O5"/>
    <mergeCell ref="P5:S5"/>
    <mergeCell ref="T5:W5"/>
    <mergeCell ref="X5:AA5"/>
    <mergeCell ref="AV2:AY2"/>
    <mergeCell ref="AZ2:AZ3"/>
    <mergeCell ref="D4:G4"/>
    <mergeCell ref="H4:K4"/>
    <mergeCell ref="L4:O4"/>
    <mergeCell ref="P4:S4"/>
    <mergeCell ref="T4:W4"/>
    <mergeCell ref="X4:AA4"/>
    <mergeCell ref="AB4:AE4"/>
    <mergeCell ref="AF4:AI4"/>
    <mergeCell ref="X2:AA2"/>
    <mergeCell ref="AB2:AE2"/>
    <mergeCell ref="AF2:AI2"/>
    <mergeCell ref="AJ2:AM2"/>
    <mergeCell ref="AN2:AQ2"/>
    <mergeCell ref="AR2:AU2"/>
    <mergeCell ref="AB5:AE5"/>
    <mergeCell ref="AF5:AI5"/>
    <mergeCell ref="AJ5:AM5"/>
    <mergeCell ref="AN5:AQ5"/>
    <mergeCell ref="AR5:AU5"/>
    <mergeCell ref="AV5:AY5"/>
    <mergeCell ref="AJ4:AM4"/>
    <mergeCell ref="AN4:AQ4"/>
    <mergeCell ref="AR4:AU4"/>
    <mergeCell ref="AV4:AY4"/>
    <mergeCell ref="AB7:AE7"/>
    <mergeCell ref="AF7:AI7"/>
    <mergeCell ref="AJ7:AM7"/>
    <mergeCell ref="AN7:AQ7"/>
    <mergeCell ref="AR7:AU7"/>
    <mergeCell ref="AV7:AY7"/>
    <mergeCell ref="D7:G7"/>
    <mergeCell ref="H7:K7"/>
    <mergeCell ref="L7:O7"/>
    <mergeCell ref="P7:S7"/>
    <mergeCell ref="T7:W7"/>
    <mergeCell ref="X7:AA7"/>
    <mergeCell ref="AB8:AE8"/>
    <mergeCell ref="AF8:AI8"/>
    <mergeCell ref="AJ8:AM8"/>
    <mergeCell ref="AN8:AQ8"/>
    <mergeCell ref="AR8:AU8"/>
    <mergeCell ref="AV8:AY8"/>
    <mergeCell ref="D8:G8"/>
    <mergeCell ref="H8:K8"/>
    <mergeCell ref="L8:O8"/>
    <mergeCell ref="P8:S8"/>
    <mergeCell ref="T8:W8"/>
    <mergeCell ref="X8:AA8"/>
    <mergeCell ref="AB9:AE9"/>
    <mergeCell ref="AF9:AI9"/>
    <mergeCell ref="AJ9:AM9"/>
    <mergeCell ref="AN9:AQ9"/>
    <mergeCell ref="AR9:AU9"/>
    <mergeCell ref="AV9:AY9"/>
    <mergeCell ref="D9:G9"/>
    <mergeCell ref="H9:K9"/>
    <mergeCell ref="L9:O9"/>
    <mergeCell ref="P9:S9"/>
    <mergeCell ref="T9:W9"/>
    <mergeCell ref="X9:AA9"/>
    <mergeCell ref="AB10:AE10"/>
    <mergeCell ref="AF10:AI10"/>
    <mergeCell ref="AJ10:AM10"/>
    <mergeCell ref="AN10:AQ10"/>
    <mergeCell ref="AR10:AU10"/>
    <mergeCell ref="AV10:AY10"/>
    <mergeCell ref="D10:G10"/>
    <mergeCell ref="H10:K10"/>
    <mergeCell ref="L10:O10"/>
    <mergeCell ref="P10:S10"/>
    <mergeCell ref="T10:W10"/>
    <mergeCell ref="X10:AA10"/>
    <mergeCell ref="AB11:AE11"/>
    <mergeCell ref="AF11:AI11"/>
    <mergeCell ref="AJ11:AM11"/>
    <mergeCell ref="AN11:AQ11"/>
    <mergeCell ref="AR11:AU11"/>
    <mergeCell ref="AV11:AY11"/>
    <mergeCell ref="D11:G11"/>
    <mergeCell ref="H11:K11"/>
    <mergeCell ref="L11:O11"/>
    <mergeCell ref="P11:S11"/>
    <mergeCell ref="T11:W11"/>
    <mergeCell ref="X11:AA11"/>
    <mergeCell ref="AB12:AE12"/>
    <mergeCell ref="AF12:AI12"/>
    <mergeCell ref="AJ12:AM12"/>
    <mergeCell ref="AN12:AQ12"/>
    <mergeCell ref="AR12:AU12"/>
    <mergeCell ref="AV12:AY12"/>
    <mergeCell ref="D12:G12"/>
    <mergeCell ref="H12:K12"/>
    <mergeCell ref="L12:O12"/>
    <mergeCell ref="P12:S12"/>
    <mergeCell ref="T12:W12"/>
    <mergeCell ref="X12:AA12"/>
    <mergeCell ref="AB13:AE13"/>
    <mergeCell ref="AF13:AI13"/>
    <mergeCell ref="AJ13:AM13"/>
    <mergeCell ref="AN13:AQ13"/>
    <mergeCell ref="AR13:AU13"/>
    <mergeCell ref="AV13:AY13"/>
    <mergeCell ref="D13:G13"/>
    <mergeCell ref="H13:K13"/>
    <mergeCell ref="L13:O13"/>
    <mergeCell ref="P13:S13"/>
    <mergeCell ref="T13:W13"/>
    <mergeCell ref="X13:AA13"/>
    <mergeCell ref="AB15:AE15"/>
    <mergeCell ref="AF15:AI15"/>
    <mergeCell ref="AJ15:AM15"/>
    <mergeCell ref="AN15:AQ15"/>
    <mergeCell ref="AR15:AU15"/>
    <mergeCell ref="AV15:AY15"/>
    <mergeCell ref="D15:G15"/>
    <mergeCell ref="H15:K15"/>
    <mergeCell ref="L15:O15"/>
    <mergeCell ref="P15:S15"/>
    <mergeCell ref="T15:W15"/>
    <mergeCell ref="X15:AA15"/>
    <mergeCell ref="AB18:AE18"/>
    <mergeCell ref="AF18:AI18"/>
    <mergeCell ref="AJ18:AM18"/>
    <mergeCell ref="AN18:AQ18"/>
    <mergeCell ref="AR18:AU18"/>
    <mergeCell ref="AV18:AY18"/>
    <mergeCell ref="D18:G18"/>
    <mergeCell ref="H18:K18"/>
    <mergeCell ref="L18:O18"/>
    <mergeCell ref="P18:S18"/>
    <mergeCell ref="T18:W18"/>
    <mergeCell ref="X18:AA18"/>
    <mergeCell ref="AB19:AE19"/>
    <mergeCell ref="AF19:AI19"/>
    <mergeCell ref="AJ19:AM19"/>
    <mergeCell ref="AN19:AQ19"/>
    <mergeCell ref="AR19:AU19"/>
    <mergeCell ref="AV19:AY19"/>
    <mergeCell ref="D19:G19"/>
    <mergeCell ref="H19:K19"/>
    <mergeCell ref="L19:O19"/>
    <mergeCell ref="P19:S19"/>
    <mergeCell ref="T19:W19"/>
    <mergeCell ref="X19:AA19"/>
    <mergeCell ref="AN20:AQ20"/>
    <mergeCell ref="AR20:AU20"/>
    <mergeCell ref="AV20:AY20"/>
    <mergeCell ref="D20:G20"/>
    <mergeCell ref="H20:K20"/>
    <mergeCell ref="L20:O20"/>
    <mergeCell ref="P20:S20"/>
    <mergeCell ref="T20:W20"/>
    <mergeCell ref="X20:AA20"/>
    <mergeCell ref="D23:G23"/>
    <mergeCell ref="H23:K23"/>
    <mergeCell ref="L23:O23"/>
    <mergeCell ref="P23:S23"/>
    <mergeCell ref="T23:W23"/>
    <mergeCell ref="X23:AA23"/>
    <mergeCell ref="AB20:AE20"/>
    <mergeCell ref="AF20:AI20"/>
    <mergeCell ref="AJ20:AM20"/>
    <mergeCell ref="D30:G30"/>
    <mergeCell ref="H30:K30"/>
    <mergeCell ref="L30:O30"/>
    <mergeCell ref="P30:S30"/>
    <mergeCell ref="T30:W30"/>
    <mergeCell ref="X30:AA30"/>
    <mergeCell ref="AB24:AE24"/>
    <mergeCell ref="AF24:AI24"/>
    <mergeCell ref="AJ24:AM24"/>
    <mergeCell ref="D24:G24"/>
    <mergeCell ref="H24:K24"/>
    <mergeCell ref="L24:O24"/>
    <mergeCell ref="P24:S24"/>
    <mergeCell ref="T24:W24"/>
    <mergeCell ref="X24:AA24"/>
    <mergeCell ref="AB42:AE42"/>
    <mergeCell ref="AF42:AI42"/>
    <mergeCell ref="AJ42:AM42"/>
    <mergeCell ref="AN42:AQ42"/>
    <mergeCell ref="AR42:AU42"/>
    <mergeCell ref="AV42:AY42"/>
    <mergeCell ref="D42:G42"/>
    <mergeCell ref="H42:K42"/>
    <mergeCell ref="L42:O42"/>
    <mergeCell ref="P42:S42"/>
    <mergeCell ref="T42:W42"/>
    <mergeCell ref="X42:AA42"/>
    <mergeCell ref="AB43:AE43"/>
    <mergeCell ref="AF43:AI43"/>
    <mergeCell ref="AJ43:AM43"/>
    <mergeCell ref="AN43:AQ43"/>
    <mergeCell ref="AR43:AU43"/>
    <mergeCell ref="AV43:AY43"/>
    <mergeCell ref="D43:G43"/>
    <mergeCell ref="H43:K43"/>
    <mergeCell ref="L43:O43"/>
    <mergeCell ref="P43:S43"/>
    <mergeCell ref="T43:W43"/>
    <mergeCell ref="X43:AA43"/>
    <mergeCell ref="AB44:AE44"/>
    <mergeCell ref="AF44:AI44"/>
    <mergeCell ref="AJ44:AM44"/>
    <mergeCell ref="AN44:AQ44"/>
    <mergeCell ref="AR44:AU44"/>
    <mergeCell ref="AV44:AY44"/>
    <mergeCell ref="D44:G44"/>
    <mergeCell ref="H44:K44"/>
    <mergeCell ref="L44:O44"/>
    <mergeCell ref="P44:S44"/>
    <mergeCell ref="T44:W44"/>
    <mergeCell ref="X44:AA44"/>
    <mergeCell ref="AB45:AE45"/>
    <mergeCell ref="AF45:AI45"/>
    <mergeCell ref="AJ45:AM45"/>
    <mergeCell ref="AN45:AQ45"/>
    <mergeCell ref="AR45:AU45"/>
    <mergeCell ref="AV45:AY45"/>
    <mergeCell ref="D45:G45"/>
    <mergeCell ref="H45:K45"/>
    <mergeCell ref="L45:O45"/>
    <mergeCell ref="P45:S45"/>
    <mergeCell ref="T45:W45"/>
    <mergeCell ref="X45:AA45"/>
    <mergeCell ref="AB46:AE46"/>
    <mergeCell ref="AF46:AI46"/>
    <mergeCell ref="AJ46:AM46"/>
    <mergeCell ref="AN46:AQ46"/>
    <mergeCell ref="AR46:AU46"/>
    <mergeCell ref="AV46:AY46"/>
    <mergeCell ref="D46:G46"/>
    <mergeCell ref="H46:K46"/>
    <mergeCell ref="L46:O46"/>
    <mergeCell ref="P46:S46"/>
    <mergeCell ref="T46:W46"/>
    <mergeCell ref="X46:AA46"/>
    <mergeCell ref="AB47:AE47"/>
    <mergeCell ref="AF47:AI47"/>
    <mergeCell ref="AJ47:AM47"/>
    <mergeCell ref="AN47:AQ47"/>
    <mergeCell ref="AR47:AU47"/>
    <mergeCell ref="AV47:AY47"/>
    <mergeCell ref="D47:G47"/>
    <mergeCell ref="H47:K47"/>
    <mergeCell ref="L47:O47"/>
    <mergeCell ref="P47:S47"/>
    <mergeCell ref="T47:W47"/>
    <mergeCell ref="X47:AA47"/>
    <mergeCell ref="AB48:AE48"/>
    <mergeCell ref="AF48:AI48"/>
    <mergeCell ref="AJ48:AM48"/>
    <mergeCell ref="AN48:AQ48"/>
    <mergeCell ref="AR48:AU48"/>
    <mergeCell ref="AV48:AY48"/>
    <mergeCell ref="D48:G48"/>
    <mergeCell ref="H48:K48"/>
    <mergeCell ref="L48:O48"/>
    <mergeCell ref="P48:S48"/>
    <mergeCell ref="T48:W48"/>
    <mergeCell ref="X48:AA48"/>
    <mergeCell ref="AB49:AE49"/>
    <mergeCell ref="AF49:AI49"/>
    <mergeCell ref="AJ49:AM49"/>
    <mergeCell ref="AN49:AQ49"/>
    <mergeCell ref="AR49:AU49"/>
    <mergeCell ref="AV49:AY49"/>
    <mergeCell ref="D49:G49"/>
    <mergeCell ref="H49:K49"/>
    <mergeCell ref="L49:O49"/>
    <mergeCell ref="P49:S49"/>
    <mergeCell ref="T49:W49"/>
    <mergeCell ref="X49:AA49"/>
    <mergeCell ref="AB50:AE50"/>
    <mergeCell ref="AF50:AI50"/>
    <mergeCell ref="AJ50:AM50"/>
    <mergeCell ref="AN50:AQ50"/>
    <mergeCell ref="AR50:AU50"/>
    <mergeCell ref="AV50:AY50"/>
    <mergeCell ref="D50:G50"/>
    <mergeCell ref="H50:K50"/>
    <mergeCell ref="L50:O50"/>
    <mergeCell ref="P50:S50"/>
    <mergeCell ref="T50:W50"/>
    <mergeCell ref="X50:AA50"/>
    <mergeCell ref="AB51:AE51"/>
    <mergeCell ref="AF51:AI51"/>
    <mergeCell ref="AJ51:AM51"/>
    <mergeCell ref="AN51:AQ51"/>
    <mergeCell ref="AR51:AU51"/>
    <mergeCell ref="AV51:AY51"/>
    <mergeCell ref="D51:G51"/>
    <mergeCell ref="H51:K51"/>
    <mergeCell ref="L51:O51"/>
    <mergeCell ref="P51:S51"/>
    <mergeCell ref="T51:W51"/>
    <mergeCell ref="X51:AA51"/>
    <mergeCell ref="AB52:AE52"/>
    <mergeCell ref="AF52:AI52"/>
    <mergeCell ref="AJ52:AM52"/>
    <mergeCell ref="AN52:AQ52"/>
    <mergeCell ref="AR52:AU52"/>
    <mergeCell ref="AV52:AY52"/>
    <mergeCell ref="D52:G52"/>
    <mergeCell ref="H52:K52"/>
    <mergeCell ref="L52:O52"/>
    <mergeCell ref="P52:S52"/>
    <mergeCell ref="T52:W52"/>
    <mergeCell ref="X52:AA52"/>
    <mergeCell ref="AB53:AE53"/>
    <mergeCell ref="AF53:AI53"/>
    <mergeCell ref="AJ53:AM53"/>
    <mergeCell ref="AN53:AQ53"/>
    <mergeCell ref="AR53:AU53"/>
    <mergeCell ref="AV53:AY53"/>
    <mergeCell ref="D53:G53"/>
    <mergeCell ref="H53:K53"/>
    <mergeCell ref="L53:O53"/>
    <mergeCell ref="P53:S53"/>
    <mergeCell ref="T53:W53"/>
    <mergeCell ref="X53:AA53"/>
    <mergeCell ref="AB54:AE54"/>
    <mergeCell ref="AF54:AI54"/>
    <mergeCell ref="AJ54:AM54"/>
    <mergeCell ref="AN54:AQ54"/>
    <mergeCell ref="AR54:AU54"/>
    <mergeCell ref="AV54:AY54"/>
    <mergeCell ref="D54:G54"/>
    <mergeCell ref="H54:K54"/>
    <mergeCell ref="L54:O54"/>
    <mergeCell ref="P54:S54"/>
    <mergeCell ref="T54:W54"/>
    <mergeCell ref="X54:AA54"/>
    <mergeCell ref="AB55:AE55"/>
    <mergeCell ref="AF55:AI55"/>
    <mergeCell ref="AJ55:AM55"/>
    <mergeCell ref="AN55:AQ55"/>
    <mergeCell ref="AR55:AU55"/>
    <mergeCell ref="AV55:AY55"/>
    <mergeCell ref="D55:G55"/>
    <mergeCell ref="H55:K55"/>
    <mergeCell ref="L55:O55"/>
    <mergeCell ref="P55:S55"/>
    <mergeCell ref="T55:W55"/>
    <mergeCell ref="X55:AA55"/>
    <mergeCell ref="AB56:AE56"/>
    <mergeCell ref="AF56:AI56"/>
    <mergeCell ref="AJ56:AM56"/>
    <mergeCell ref="AN56:AQ56"/>
    <mergeCell ref="AR56:AU56"/>
    <mergeCell ref="AV56:AY56"/>
    <mergeCell ref="D56:G56"/>
    <mergeCell ref="H56:K56"/>
    <mergeCell ref="L56:O56"/>
    <mergeCell ref="P56:S56"/>
    <mergeCell ref="T56:W56"/>
    <mergeCell ref="X56:AA56"/>
    <mergeCell ref="AB57:AE57"/>
    <mergeCell ref="AF57:AI57"/>
    <mergeCell ref="AJ57:AM57"/>
    <mergeCell ref="AN57:AQ57"/>
    <mergeCell ref="AR57:AU57"/>
    <mergeCell ref="AV57:AY57"/>
    <mergeCell ref="D57:G57"/>
    <mergeCell ref="H57:K57"/>
    <mergeCell ref="L57:O57"/>
    <mergeCell ref="P57:S57"/>
    <mergeCell ref="T57:W57"/>
    <mergeCell ref="X57:AA57"/>
    <mergeCell ref="AB58:AE58"/>
    <mergeCell ref="AF58:AI58"/>
    <mergeCell ref="AJ58:AM58"/>
    <mergeCell ref="AN58:AQ58"/>
    <mergeCell ref="AR58:AU58"/>
    <mergeCell ref="AV58:AY58"/>
    <mergeCell ref="D58:G58"/>
    <mergeCell ref="H58:K58"/>
    <mergeCell ref="L58:O58"/>
    <mergeCell ref="P58:S58"/>
    <mergeCell ref="T58:W58"/>
    <mergeCell ref="X58:AA58"/>
    <mergeCell ref="AB59:AE59"/>
    <mergeCell ref="AF59:AI59"/>
    <mergeCell ref="AJ59:AM59"/>
    <mergeCell ref="AN59:AQ59"/>
    <mergeCell ref="AR59:AU59"/>
    <mergeCell ref="AV59:AY59"/>
    <mergeCell ref="D59:G59"/>
    <mergeCell ref="H59:K59"/>
    <mergeCell ref="L59:O59"/>
    <mergeCell ref="P59:S59"/>
    <mergeCell ref="T59:W59"/>
    <mergeCell ref="X59:AA59"/>
    <mergeCell ref="AB60:AE60"/>
    <mergeCell ref="AF60:AI60"/>
    <mergeCell ref="AJ60:AM60"/>
    <mergeCell ref="AN60:AQ60"/>
    <mergeCell ref="AR60:AU60"/>
    <mergeCell ref="AV60:AY60"/>
    <mergeCell ref="D60:G60"/>
    <mergeCell ref="H60:K60"/>
    <mergeCell ref="L60:O60"/>
    <mergeCell ref="P60:S60"/>
    <mergeCell ref="T60:W60"/>
    <mergeCell ref="X60:AA60"/>
    <mergeCell ref="AB61:AE61"/>
    <mergeCell ref="AF61:AI61"/>
    <mergeCell ref="AJ61:AM61"/>
    <mergeCell ref="AN61:AQ61"/>
    <mergeCell ref="AR61:AU61"/>
    <mergeCell ref="AV61:AY61"/>
    <mergeCell ref="D61:G61"/>
    <mergeCell ref="H61:K61"/>
    <mergeCell ref="L61:O61"/>
    <mergeCell ref="P61:S61"/>
    <mergeCell ref="T61:W61"/>
    <mergeCell ref="X61:AA61"/>
    <mergeCell ref="AB62:AE62"/>
    <mergeCell ref="AF62:AI62"/>
    <mergeCell ref="AJ62:AM62"/>
    <mergeCell ref="AN62:AQ62"/>
    <mergeCell ref="AR62:AU62"/>
    <mergeCell ref="AV62:AY62"/>
    <mergeCell ref="D62:G62"/>
    <mergeCell ref="H62:K62"/>
    <mergeCell ref="L62:O62"/>
    <mergeCell ref="P62:S62"/>
    <mergeCell ref="T62:W62"/>
    <mergeCell ref="X62:AA62"/>
    <mergeCell ref="AB63:AE63"/>
    <mergeCell ref="AF63:AI63"/>
    <mergeCell ref="AJ63:AM63"/>
    <mergeCell ref="AN63:AQ63"/>
    <mergeCell ref="AR63:AU63"/>
    <mergeCell ref="AV63:AY63"/>
    <mergeCell ref="D63:G63"/>
    <mergeCell ref="H63:K63"/>
    <mergeCell ref="L63:O63"/>
    <mergeCell ref="P63:S63"/>
    <mergeCell ref="T63:W63"/>
    <mergeCell ref="X63:AA63"/>
    <mergeCell ref="AB64:AE64"/>
    <mergeCell ref="AF64:AI64"/>
    <mergeCell ref="AJ64:AM64"/>
    <mergeCell ref="AN64:AQ64"/>
    <mergeCell ref="AR64:AU64"/>
    <mergeCell ref="AV64:AY64"/>
    <mergeCell ref="D64:G64"/>
    <mergeCell ref="H64:K64"/>
    <mergeCell ref="L64:O64"/>
    <mergeCell ref="P64:S64"/>
    <mergeCell ref="T64:W64"/>
    <mergeCell ref="X64:AA64"/>
    <mergeCell ref="AB65:AE65"/>
    <mergeCell ref="AF65:AI65"/>
    <mergeCell ref="AJ65:AM65"/>
    <mergeCell ref="AN65:AQ65"/>
    <mergeCell ref="AR65:AU65"/>
    <mergeCell ref="AV65:AY65"/>
    <mergeCell ref="D65:G65"/>
    <mergeCell ref="H65:K65"/>
    <mergeCell ref="L65:O65"/>
    <mergeCell ref="P65:S65"/>
    <mergeCell ref="T65:W65"/>
    <mergeCell ref="X65:AA65"/>
    <mergeCell ref="AB66:AE66"/>
    <mergeCell ref="AF66:AI66"/>
    <mergeCell ref="AJ66:AM66"/>
    <mergeCell ref="AN66:AQ66"/>
    <mergeCell ref="AR66:AU66"/>
    <mergeCell ref="AV66:AY66"/>
    <mergeCell ref="D66:G66"/>
    <mergeCell ref="H66:K66"/>
    <mergeCell ref="L66:O66"/>
    <mergeCell ref="P66:S66"/>
    <mergeCell ref="T66:W66"/>
    <mergeCell ref="X66:AA66"/>
    <mergeCell ref="AB67:AE67"/>
    <mergeCell ref="AF67:AI67"/>
    <mergeCell ref="AJ67:AM67"/>
    <mergeCell ref="AN67:AQ67"/>
    <mergeCell ref="AR67:AU67"/>
    <mergeCell ref="AV67:AY67"/>
    <mergeCell ref="D67:G67"/>
    <mergeCell ref="H67:K67"/>
    <mergeCell ref="L67:O67"/>
    <mergeCell ref="P67:S67"/>
    <mergeCell ref="T67:W67"/>
    <mergeCell ref="X67:AA67"/>
    <mergeCell ref="AB68:AE68"/>
    <mergeCell ref="AF68:AI68"/>
    <mergeCell ref="AJ68:AM68"/>
    <mergeCell ref="AN68:AQ68"/>
    <mergeCell ref="AR68:AU68"/>
    <mergeCell ref="AV68:AY68"/>
    <mergeCell ref="D68:G68"/>
    <mergeCell ref="H68:K68"/>
    <mergeCell ref="L68:O68"/>
    <mergeCell ref="P68:S68"/>
    <mergeCell ref="T68:W68"/>
    <mergeCell ref="X68:AA68"/>
    <mergeCell ref="AB69:AE69"/>
    <mergeCell ref="AF69:AI69"/>
    <mergeCell ref="AJ69:AM69"/>
    <mergeCell ref="AN69:AQ69"/>
    <mergeCell ref="AR69:AU69"/>
    <mergeCell ref="AV69:AY69"/>
    <mergeCell ref="D69:G69"/>
    <mergeCell ref="H69:K69"/>
    <mergeCell ref="L69:O69"/>
    <mergeCell ref="P69:S69"/>
    <mergeCell ref="T69:W69"/>
    <mergeCell ref="X69:AA69"/>
    <mergeCell ref="AB70:AE70"/>
    <mergeCell ref="AF70:AI70"/>
    <mergeCell ref="AJ70:AM70"/>
    <mergeCell ref="AN70:AQ70"/>
    <mergeCell ref="AR70:AU70"/>
    <mergeCell ref="AV70:AY70"/>
    <mergeCell ref="D70:G70"/>
    <mergeCell ref="H70:K70"/>
    <mergeCell ref="L70:O70"/>
    <mergeCell ref="P70:S70"/>
    <mergeCell ref="T70:W70"/>
    <mergeCell ref="X70:AA70"/>
    <mergeCell ref="AB71:AE71"/>
    <mergeCell ref="AF71:AI71"/>
    <mergeCell ref="AJ71:AM71"/>
    <mergeCell ref="AN71:AQ71"/>
    <mergeCell ref="AR71:AU71"/>
    <mergeCell ref="AV71:AY71"/>
    <mergeCell ref="D71:G71"/>
    <mergeCell ref="H71:K71"/>
    <mergeCell ref="L71:O71"/>
    <mergeCell ref="P71:S71"/>
    <mergeCell ref="T71:W71"/>
    <mergeCell ref="X71:AA71"/>
    <mergeCell ref="AB72:AE72"/>
    <mergeCell ref="AF72:AI72"/>
    <mergeCell ref="AJ72:AM72"/>
    <mergeCell ref="AN72:AQ72"/>
    <mergeCell ref="AR72:AU72"/>
    <mergeCell ref="AV72:AY72"/>
    <mergeCell ref="D72:G72"/>
    <mergeCell ref="H72:K72"/>
    <mergeCell ref="L72:O72"/>
    <mergeCell ref="P72:S72"/>
    <mergeCell ref="T72:W72"/>
    <mergeCell ref="X72:AA72"/>
    <mergeCell ref="AV16:AY16"/>
    <mergeCell ref="D17:G17"/>
    <mergeCell ref="H17:K17"/>
    <mergeCell ref="L17:O17"/>
    <mergeCell ref="P17:S17"/>
    <mergeCell ref="T17:W17"/>
    <mergeCell ref="X17:AA17"/>
    <mergeCell ref="AB17:AE17"/>
    <mergeCell ref="AF17:AI17"/>
    <mergeCell ref="D16:G16"/>
    <mergeCell ref="H16:K16"/>
    <mergeCell ref="L16:O16"/>
    <mergeCell ref="P16:S16"/>
    <mergeCell ref="T16:W16"/>
    <mergeCell ref="X16:AA16"/>
    <mergeCell ref="AV17:AY17"/>
    <mergeCell ref="AJ17:AM17"/>
    <mergeCell ref="AN17:AQ17"/>
    <mergeCell ref="AR17:AU17"/>
    <mergeCell ref="AB16:AE16"/>
    <mergeCell ref="AF16:AI16"/>
    <mergeCell ref="AJ16:AM16"/>
    <mergeCell ref="AN16:AQ16"/>
    <mergeCell ref="D41:G41"/>
    <mergeCell ref="H41:K41"/>
    <mergeCell ref="L41:O41"/>
    <mergeCell ref="P41:S41"/>
    <mergeCell ref="T41:W41"/>
    <mergeCell ref="X41:AA41"/>
    <mergeCell ref="AB41:AE41"/>
    <mergeCell ref="AF41:AI41"/>
    <mergeCell ref="AR16:AU16"/>
    <mergeCell ref="AB40:AE40"/>
    <mergeCell ref="AB31:AE31"/>
    <mergeCell ref="AF31:AI31"/>
    <mergeCell ref="AJ31:AM31"/>
    <mergeCell ref="AN31:AQ31"/>
    <mergeCell ref="AR31:AU31"/>
    <mergeCell ref="D31:G31"/>
    <mergeCell ref="H31:K31"/>
    <mergeCell ref="L31:O31"/>
    <mergeCell ref="P31:S31"/>
    <mergeCell ref="T31:W31"/>
    <mergeCell ref="X31:AA31"/>
    <mergeCell ref="AB30:AE30"/>
    <mergeCell ref="AF30:AI30"/>
    <mergeCell ref="AJ30:AM30"/>
    <mergeCell ref="AN21:AQ21"/>
    <mergeCell ref="AR21:AU21"/>
    <mergeCell ref="AV21:AY21"/>
    <mergeCell ref="AR22:AU22"/>
    <mergeCell ref="AB22:AE22"/>
    <mergeCell ref="AV22:AY22"/>
    <mergeCell ref="AJ41:AM41"/>
    <mergeCell ref="AN41:AQ41"/>
    <mergeCell ref="AR41:AU41"/>
    <mergeCell ref="AV41:AY41"/>
    <mergeCell ref="AV31:AY31"/>
    <mergeCell ref="AN30:AQ30"/>
    <mergeCell ref="AR30:AU30"/>
    <mergeCell ref="AV30:AY30"/>
    <mergeCell ref="AN24:AQ24"/>
    <mergeCell ref="AR24:AU24"/>
    <mergeCell ref="AV24:AY24"/>
    <mergeCell ref="AB23:AE23"/>
    <mergeCell ref="AF23:AI23"/>
    <mergeCell ref="AJ23:AM23"/>
    <mergeCell ref="AN23:AQ23"/>
    <mergeCell ref="AR23:AU23"/>
    <mergeCell ref="AV23:AY23"/>
    <mergeCell ref="AN38:AQ38"/>
    <mergeCell ref="D21:G21"/>
    <mergeCell ref="H21:K21"/>
    <mergeCell ref="L21:O21"/>
    <mergeCell ref="P21:S21"/>
    <mergeCell ref="T21:W21"/>
    <mergeCell ref="X21:AA21"/>
    <mergeCell ref="AB21:AE21"/>
    <mergeCell ref="AF21:AI21"/>
    <mergeCell ref="AJ21:AM21"/>
    <mergeCell ref="AN40:AQ40"/>
    <mergeCell ref="AR40:AU40"/>
    <mergeCell ref="AV40:AY40"/>
    <mergeCell ref="D39:G39"/>
    <mergeCell ref="H39:K39"/>
    <mergeCell ref="L39:O39"/>
    <mergeCell ref="P39:S39"/>
    <mergeCell ref="T39:W39"/>
    <mergeCell ref="X39:AA39"/>
    <mergeCell ref="AB39:AE39"/>
    <mergeCell ref="AF39:AI39"/>
    <mergeCell ref="AJ39:AM39"/>
    <mergeCell ref="AN39:AQ39"/>
    <mergeCell ref="AR39:AU39"/>
    <mergeCell ref="AV39:AY39"/>
    <mergeCell ref="D40:G40"/>
    <mergeCell ref="H40:K40"/>
    <mergeCell ref="L40:O40"/>
    <mergeCell ref="P40:S40"/>
    <mergeCell ref="T40:W40"/>
    <mergeCell ref="X40:AA40"/>
    <mergeCell ref="AF40:AI40"/>
    <mergeCell ref="AJ40:AM40"/>
    <mergeCell ref="D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37:AQ37"/>
    <mergeCell ref="AR37:AU37"/>
    <mergeCell ref="AV37:AY37"/>
    <mergeCell ref="D25:G25"/>
    <mergeCell ref="H25:K25"/>
    <mergeCell ref="L25:O25"/>
    <mergeCell ref="P25:S25"/>
    <mergeCell ref="T25:W25"/>
    <mergeCell ref="X25:AA25"/>
    <mergeCell ref="AB25:AE25"/>
    <mergeCell ref="AF25:AI25"/>
    <mergeCell ref="AJ25:AM25"/>
    <mergeCell ref="AN25:AQ25"/>
    <mergeCell ref="AR25:AU25"/>
    <mergeCell ref="AV25:AY25"/>
    <mergeCell ref="D26:G26"/>
    <mergeCell ref="H26:K26"/>
    <mergeCell ref="L26:O26"/>
    <mergeCell ref="P26:S26"/>
    <mergeCell ref="T26:W26"/>
    <mergeCell ref="X26:AA26"/>
    <mergeCell ref="AB26:AE26"/>
    <mergeCell ref="AF26:AI26"/>
    <mergeCell ref="AJ26:AM26"/>
    <mergeCell ref="AN26:AQ26"/>
    <mergeCell ref="AR26:AU26"/>
    <mergeCell ref="AV26:AY26"/>
    <mergeCell ref="D27:G27"/>
    <mergeCell ref="H27:K27"/>
    <mergeCell ref="L27:O27"/>
    <mergeCell ref="P27:S27"/>
    <mergeCell ref="T27:W27"/>
    <mergeCell ref="X27:AA27"/>
    <mergeCell ref="AB27:AE27"/>
    <mergeCell ref="AF27:AI27"/>
    <mergeCell ref="AJ27:AM27"/>
    <mergeCell ref="AN27:AQ27"/>
    <mergeCell ref="AR27:AU27"/>
    <mergeCell ref="AV27:AY27"/>
    <mergeCell ref="AN28:AQ28"/>
    <mergeCell ref="AR28:AU28"/>
    <mergeCell ref="AV28:AY28"/>
    <mergeCell ref="D29:G29"/>
    <mergeCell ref="H29:K29"/>
    <mergeCell ref="L29:O29"/>
    <mergeCell ref="P29:S29"/>
    <mergeCell ref="T29:W29"/>
    <mergeCell ref="X29:AA29"/>
    <mergeCell ref="AB29:AE29"/>
    <mergeCell ref="AF29:AI29"/>
    <mergeCell ref="AJ29:AM29"/>
    <mergeCell ref="AN29:AQ29"/>
    <mergeCell ref="AR29:AU29"/>
    <mergeCell ref="AV29:AY29"/>
    <mergeCell ref="D28:G28"/>
    <mergeCell ref="H28:K28"/>
    <mergeCell ref="L28:O28"/>
    <mergeCell ref="P28:S28"/>
    <mergeCell ref="T28:W28"/>
    <mergeCell ref="X28:AA28"/>
    <mergeCell ref="AB28:AE28"/>
    <mergeCell ref="AF28:AI28"/>
    <mergeCell ref="AJ28:AM28"/>
    <mergeCell ref="AN35:AQ35"/>
    <mergeCell ref="AR35:AU35"/>
    <mergeCell ref="AV35:AY35"/>
    <mergeCell ref="D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N36:AQ36"/>
    <mergeCell ref="AR36:AU36"/>
    <mergeCell ref="AV36:AY36"/>
    <mergeCell ref="D35:G35"/>
    <mergeCell ref="H35:K35"/>
    <mergeCell ref="L35:O35"/>
    <mergeCell ref="P35:S35"/>
    <mergeCell ref="T35:W35"/>
    <mergeCell ref="X35:AA35"/>
    <mergeCell ref="AB35:AE35"/>
    <mergeCell ref="AF35:AI35"/>
    <mergeCell ref="AJ35:AM35"/>
    <mergeCell ref="AN32:AQ32"/>
    <mergeCell ref="AR32:AU32"/>
    <mergeCell ref="AV32:AY32"/>
    <mergeCell ref="D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N33:AQ33"/>
    <mergeCell ref="AR33:AU33"/>
    <mergeCell ref="AV33:AY33"/>
    <mergeCell ref="D32:G32"/>
    <mergeCell ref="H32:K32"/>
    <mergeCell ref="L32:O32"/>
    <mergeCell ref="P32:S32"/>
    <mergeCell ref="T32:W32"/>
    <mergeCell ref="X32:AA32"/>
    <mergeCell ref="AB32:AE32"/>
    <mergeCell ref="AF32:AI32"/>
    <mergeCell ref="AJ32:AM32"/>
    <mergeCell ref="AN34:AQ34"/>
    <mergeCell ref="AR34:AU34"/>
    <mergeCell ref="AV34:AY34"/>
    <mergeCell ref="D34:G34"/>
    <mergeCell ref="H34:K34"/>
    <mergeCell ref="L34:O34"/>
    <mergeCell ref="P34:S34"/>
    <mergeCell ref="T34:W34"/>
    <mergeCell ref="X34:AA34"/>
    <mergeCell ref="AB34:AE34"/>
    <mergeCell ref="AF34:AI34"/>
    <mergeCell ref="AJ34:AM34"/>
  </mergeCells>
  <pageMargins left="0.25" right="0.2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Budget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Narute Veerachuen (TAN)</dc:creator>
  <cp:keywords/>
  <dc:description/>
  <cp:lastModifiedBy>Treephol  Trakulrungsi</cp:lastModifiedBy>
  <cp:revision/>
  <dcterms:created xsi:type="dcterms:W3CDTF">2023-11-27T08:06:57Z</dcterms:created>
  <dcterms:modified xsi:type="dcterms:W3CDTF">2025-12-01T13:29:05Z</dcterms:modified>
  <cp:category/>
  <cp:contentStatus/>
</cp:coreProperties>
</file>