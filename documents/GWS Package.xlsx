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EEPHOL/Documents/GitHub/PATAMA/documents/"/>
    </mc:Choice>
  </mc:AlternateContent>
  <xr:revisionPtr revIDLastSave="0" documentId="13_ncr:1_{349D1E40-6488-264E-AA4F-A258CA3B3B8E}" xr6:coauthVersionLast="47" xr6:coauthVersionMax="47" xr10:uidLastSave="{00000000-0000-0000-0000-000000000000}"/>
  <bookViews>
    <workbookView xWindow="0" yWindow="740" windowWidth="29400" windowHeight="18380" xr2:uid="{4541DADE-F363-4561-B585-AE759766B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F5" i="1"/>
  <c r="F6" i="1"/>
  <c r="H16" i="1"/>
  <c r="F16" i="1"/>
  <c r="D16" i="1"/>
  <c r="H5" i="1"/>
  <c r="H6" i="1"/>
  <c r="D5" i="1"/>
  <c r="C20" i="1"/>
  <c r="C10" i="1"/>
  <c r="E17" i="1"/>
  <c r="E18" i="1" s="1"/>
  <c r="E19" i="1" s="1"/>
  <c r="G17" i="1"/>
  <c r="G18" i="1" s="1"/>
  <c r="G19" i="1" s="1"/>
  <c r="C17" i="1"/>
  <c r="C18" i="1" s="1"/>
  <c r="C19" i="1" s="1"/>
  <c r="H15" i="1"/>
  <c r="H17" i="1" s="1"/>
  <c r="H18" i="1" s="1"/>
  <c r="H19" i="1" s="1"/>
  <c r="F15" i="1"/>
  <c r="F17" i="1" s="1"/>
  <c r="F18" i="1" s="1"/>
  <c r="F19" i="1" s="1"/>
  <c r="D15" i="1"/>
  <c r="D17" i="1" s="1"/>
  <c r="D18" i="1" s="1"/>
  <c r="D19" i="1" s="1"/>
  <c r="E7" i="1"/>
  <c r="E8" i="1" s="1"/>
  <c r="E9" i="1" s="1"/>
  <c r="G7" i="1"/>
  <c r="G8" i="1" s="1"/>
  <c r="G9" i="1" s="1"/>
  <c r="C7" i="1"/>
  <c r="C8" i="1" s="1"/>
  <c r="C9" i="1" s="1"/>
  <c r="D7" i="1"/>
  <c r="D8" i="1" s="1"/>
  <c r="D9" i="1" s="1"/>
  <c r="F7" i="1" l="1"/>
  <c r="F8" i="1" s="1"/>
  <c r="F9" i="1" s="1"/>
  <c r="H7" i="1"/>
  <c r="H8" i="1" s="1"/>
  <c r="H9" i="1" s="1"/>
</calcChain>
</file>

<file path=xl/sharedStrings.xml><?xml version="1.0" encoding="utf-8"?>
<sst xmlns="http://schemas.openxmlformats.org/spreadsheetml/2006/main" count="47" uniqueCount="27">
  <si>
    <t>GWS Package Cost</t>
  </si>
  <si>
    <t>Date</t>
  </si>
  <si>
    <t>Item</t>
  </si>
  <si>
    <t>Ocean View Pool Junior Suite</t>
  </si>
  <si>
    <t>Ocean View Pool Villa</t>
  </si>
  <si>
    <t>Signature Ocean View Pool Suite</t>
  </si>
  <si>
    <t>Location</t>
  </si>
  <si>
    <t>Single</t>
  </si>
  <si>
    <t>Double</t>
  </si>
  <si>
    <t>10-13 Nov</t>
  </si>
  <si>
    <t>Accommodation for 3 nights</t>
  </si>
  <si>
    <t>TRISARA</t>
  </si>
  <si>
    <t>F&amp;B Credit THB 3,500 x 3 nights</t>
  </si>
  <si>
    <t>F&amp;B outlets excl. PRU and IVD</t>
  </si>
  <si>
    <t>Wellness Credit THB 13,000 for 3 nights</t>
  </si>
  <si>
    <t>Water Sports, Spa, Wellness Program</t>
  </si>
  <si>
    <t>Total 3 Nights, The World Gather Package</t>
  </si>
  <si>
    <t>13-15 Nov</t>
  </si>
  <si>
    <t>Accommodation for 2 nights</t>
  </si>
  <si>
    <t>F&amp;B Credit THB 3,500 x 2 nights</t>
  </si>
  <si>
    <t>Wellness Credit THB 26,000 for 2 nights</t>
  </si>
  <si>
    <t>Fixed wellness program</t>
  </si>
  <si>
    <t>Total 2 Nights, The Long View Package</t>
  </si>
  <si>
    <t>USD</t>
  </si>
  <si>
    <t>USD (round's up)</t>
  </si>
  <si>
    <t xml:space="preserve">resort credit </t>
  </si>
  <si>
    <t>resort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</si>
</sst>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9"/>
      <color rgb="FF242424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5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C923-CD9B-4FB3-8B2B-9D2172349517}">
  <dimension ref="A1:I20"/>
  <sheetViews>
    <sheetView tabSelected="1" zoomScale="161" workbookViewId="0">
      <selection activeCell="H6" sqref="H6"/>
    </sheetView>
  </sheetViews>
  <sheetFormatPr baseColWidth="10" defaultColWidth="8.83203125" defaultRowHeight="15" x14ac:dyDescent="0.2"/>
  <cols>
    <col min="1" max="1" width="12.5" customWidth="1"/>
    <col min="2" max="2" width="38.5" customWidth="1"/>
    <col min="3" max="8" width="15" bestFit="1" customWidth="1"/>
    <col min="9" max="9" width="35.1640625" bestFit="1" customWidth="1"/>
  </cols>
  <sheetData>
    <row r="1" spans="1:9" ht="44.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3.5" customHeight="1" x14ac:dyDescent="0.2">
      <c r="A2" s="10" t="s">
        <v>1</v>
      </c>
      <c r="B2" s="10" t="s">
        <v>2</v>
      </c>
      <c r="C2" s="10" t="s">
        <v>3</v>
      </c>
      <c r="D2" s="10"/>
      <c r="E2" s="10" t="s">
        <v>4</v>
      </c>
      <c r="F2" s="10"/>
      <c r="G2" s="10" t="s">
        <v>5</v>
      </c>
      <c r="H2" s="10"/>
      <c r="I2" s="10" t="s">
        <v>6</v>
      </c>
    </row>
    <row r="3" spans="1:9" ht="23.5" customHeight="1" x14ac:dyDescent="0.2">
      <c r="A3" s="10"/>
      <c r="B3" s="10"/>
      <c r="C3" s="3" t="s">
        <v>7</v>
      </c>
      <c r="D3" s="3" t="s">
        <v>8</v>
      </c>
      <c r="E3" s="3" t="s">
        <v>7</v>
      </c>
      <c r="F3" s="3" t="s">
        <v>8</v>
      </c>
      <c r="G3" s="3" t="s">
        <v>7</v>
      </c>
      <c r="H3" s="3" t="s">
        <v>8</v>
      </c>
      <c r="I3" s="10"/>
    </row>
    <row r="4" spans="1:9" ht="23.5" customHeight="1" x14ac:dyDescent="0.2">
      <c r="A4" s="11" t="s">
        <v>9</v>
      </c>
      <c r="B4" s="4" t="s">
        <v>10</v>
      </c>
      <c r="C4" s="6">
        <v>105000</v>
      </c>
      <c r="D4" s="6">
        <v>105000</v>
      </c>
      <c r="E4" s="6">
        <v>165000</v>
      </c>
      <c r="F4" s="6">
        <v>165000</v>
      </c>
      <c r="G4" s="6">
        <v>240000</v>
      </c>
      <c r="H4" s="6">
        <v>240000</v>
      </c>
      <c r="I4" s="4" t="s">
        <v>11</v>
      </c>
    </row>
    <row r="5" spans="1:9" ht="23.5" customHeight="1" x14ac:dyDescent="0.2">
      <c r="A5" s="11"/>
      <c r="B5" s="4" t="s">
        <v>12</v>
      </c>
      <c r="C5" s="6">
        <v>10500</v>
      </c>
      <c r="D5" s="6">
        <f>C5*2</f>
        <v>21000</v>
      </c>
      <c r="E5" s="6">
        <v>10500</v>
      </c>
      <c r="F5" s="6">
        <f>E5*2</f>
        <v>21000</v>
      </c>
      <c r="G5" s="6">
        <v>10500</v>
      </c>
      <c r="H5" s="6">
        <f>G5*2</f>
        <v>21000</v>
      </c>
      <c r="I5" s="4" t="s">
        <v>13</v>
      </c>
    </row>
    <row r="6" spans="1:9" ht="23.5" customHeight="1" x14ac:dyDescent="0.2">
      <c r="A6" s="11"/>
      <c r="B6" s="4" t="s">
        <v>14</v>
      </c>
      <c r="C6" s="6">
        <v>13000</v>
      </c>
      <c r="D6" s="6">
        <f>C6*2</f>
        <v>26000</v>
      </c>
      <c r="E6" s="6">
        <v>13000</v>
      </c>
      <c r="F6" s="6">
        <f>E6*2</f>
        <v>26000</v>
      </c>
      <c r="G6" s="6">
        <v>13000</v>
      </c>
      <c r="H6" s="6">
        <f>G6*2</f>
        <v>26000</v>
      </c>
      <c r="I6" s="4" t="s">
        <v>15</v>
      </c>
    </row>
    <row r="7" spans="1:9" ht="23.5" customHeight="1" x14ac:dyDescent="0.2">
      <c r="A7" s="10" t="s">
        <v>16</v>
      </c>
      <c r="B7" s="10"/>
      <c r="C7" s="7">
        <f>SUM(C4:C6)</f>
        <v>128500</v>
      </c>
      <c r="D7" s="7">
        <f t="shared" ref="D7:H7" si="0">SUM(D4:D6)</f>
        <v>152000</v>
      </c>
      <c r="E7" s="7">
        <f t="shared" si="0"/>
        <v>188500</v>
      </c>
      <c r="F7" s="7">
        <f t="shared" si="0"/>
        <v>212000</v>
      </c>
      <c r="G7" s="7">
        <f t="shared" si="0"/>
        <v>263500</v>
      </c>
      <c r="H7" s="7">
        <f t="shared" si="0"/>
        <v>287000</v>
      </c>
      <c r="I7" s="5"/>
    </row>
    <row r="8" spans="1:9" ht="23.5" customHeight="1" x14ac:dyDescent="0.2">
      <c r="A8" s="10" t="s">
        <v>23</v>
      </c>
      <c r="B8" s="10"/>
      <c r="C8" s="7">
        <f>C7/33</f>
        <v>3893.939393939394</v>
      </c>
      <c r="D8" s="7">
        <f t="shared" ref="D8:H8" si="1">D7/33</f>
        <v>4606.060606060606</v>
      </c>
      <c r="E8" s="7">
        <f t="shared" si="1"/>
        <v>5712.121212121212</v>
      </c>
      <c r="F8" s="7">
        <f t="shared" si="1"/>
        <v>6424.242424242424</v>
      </c>
      <c r="G8" s="7">
        <f t="shared" si="1"/>
        <v>7984.848484848485</v>
      </c>
      <c r="H8" s="7">
        <f t="shared" si="1"/>
        <v>8696.9696969696961</v>
      </c>
      <c r="I8" s="5"/>
    </row>
    <row r="9" spans="1:9" ht="23.5" customHeight="1" x14ac:dyDescent="0.2">
      <c r="A9" s="10" t="s">
        <v>24</v>
      </c>
      <c r="B9" s="10"/>
      <c r="C9" s="7">
        <f>ROUND(C8,-2)</f>
        <v>3900</v>
      </c>
      <c r="D9" s="7">
        <f t="shared" ref="D9:H9" si="2">ROUND(D8,-2)</f>
        <v>4600</v>
      </c>
      <c r="E9" s="7">
        <f t="shared" si="2"/>
        <v>5700</v>
      </c>
      <c r="F9" s="7">
        <f t="shared" si="2"/>
        <v>6400</v>
      </c>
      <c r="G9" s="7">
        <f t="shared" si="2"/>
        <v>8000</v>
      </c>
      <c r="H9" s="7">
        <f t="shared" si="2"/>
        <v>8700</v>
      </c>
      <c r="I9" s="5"/>
    </row>
    <row r="10" spans="1:9" ht="23.5" customHeight="1" x14ac:dyDescent="0.2">
      <c r="A10" s="1"/>
      <c r="B10" s="1" t="s">
        <v>25</v>
      </c>
      <c r="C10" s="9">
        <f>(C5+C6)/33</f>
        <v>712.12121212121212</v>
      </c>
      <c r="D10" s="1"/>
      <c r="E10" s="2"/>
      <c r="F10" s="2"/>
      <c r="G10" s="2"/>
      <c r="H10" s="2"/>
      <c r="I10" s="1"/>
    </row>
    <row r="11" spans="1:9" ht="23.5" customHeight="1" x14ac:dyDescent="0.2">
      <c r="A11" s="1"/>
      <c r="B11" s="1"/>
      <c r="C11" s="9"/>
      <c r="D11" s="1"/>
      <c r="E11" s="2"/>
      <c r="F11" s="2"/>
      <c r="G11" s="2"/>
      <c r="H11" s="2"/>
      <c r="I11" s="1"/>
    </row>
    <row r="12" spans="1:9" ht="23.5" customHeight="1" x14ac:dyDescent="0.2">
      <c r="A12" s="10" t="s">
        <v>1</v>
      </c>
      <c r="B12" s="10" t="s">
        <v>2</v>
      </c>
      <c r="C12" s="10" t="s">
        <v>3</v>
      </c>
      <c r="D12" s="10"/>
      <c r="E12" s="10" t="s">
        <v>4</v>
      </c>
      <c r="F12" s="10"/>
      <c r="G12" s="10" t="s">
        <v>5</v>
      </c>
      <c r="H12" s="10"/>
      <c r="I12" s="10" t="s">
        <v>6</v>
      </c>
    </row>
    <row r="13" spans="1:9" ht="23.5" customHeight="1" x14ac:dyDescent="0.2">
      <c r="A13" s="10"/>
      <c r="B13" s="10"/>
      <c r="C13" s="3" t="s">
        <v>7</v>
      </c>
      <c r="D13" s="3" t="s">
        <v>8</v>
      </c>
      <c r="E13" s="3" t="s">
        <v>7</v>
      </c>
      <c r="F13" s="3" t="s">
        <v>8</v>
      </c>
      <c r="G13" s="3" t="s">
        <v>7</v>
      </c>
      <c r="H13" s="3" t="s">
        <v>8</v>
      </c>
      <c r="I13" s="10"/>
    </row>
    <row r="14" spans="1:9" ht="23.5" customHeight="1" x14ac:dyDescent="0.2">
      <c r="A14" s="11" t="s">
        <v>17</v>
      </c>
      <c r="B14" s="4" t="s">
        <v>18</v>
      </c>
      <c r="C14" s="6">
        <v>70000</v>
      </c>
      <c r="D14" s="6">
        <v>70000</v>
      </c>
      <c r="E14" s="6">
        <v>110000</v>
      </c>
      <c r="F14" s="6">
        <v>110000</v>
      </c>
      <c r="G14" s="6">
        <v>160000</v>
      </c>
      <c r="H14" s="6">
        <v>160000</v>
      </c>
      <c r="I14" s="4" t="s">
        <v>11</v>
      </c>
    </row>
    <row r="15" spans="1:9" ht="23.5" customHeight="1" x14ac:dyDescent="0.2">
      <c r="A15" s="11"/>
      <c r="B15" s="4" t="s">
        <v>19</v>
      </c>
      <c r="C15" s="6">
        <v>7000</v>
      </c>
      <c r="D15" s="6">
        <f>C15*2</f>
        <v>14000</v>
      </c>
      <c r="E15" s="6">
        <v>7000</v>
      </c>
      <c r="F15" s="6">
        <f>E15*2</f>
        <v>14000</v>
      </c>
      <c r="G15" s="6">
        <v>7000</v>
      </c>
      <c r="H15" s="6">
        <f>G15*2</f>
        <v>14000</v>
      </c>
      <c r="I15" s="4" t="s">
        <v>13</v>
      </c>
    </row>
    <row r="16" spans="1:9" ht="23.5" customHeight="1" x14ac:dyDescent="0.2">
      <c r="A16" s="11"/>
      <c r="B16" s="4" t="s">
        <v>20</v>
      </c>
      <c r="C16" s="6">
        <v>26000</v>
      </c>
      <c r="D16" s="6">
        <f>C16*2</f>
        <v>52000</v>
      </c>
      <c r="E16" s="6">
        <v>26000</v>
      </c>
      <c r="F16" s="6">
        <f>E16*2</f>
        <v>52000</v>
      </c>
      <c r="G16" s="6">
        <v>26000</v>
      </c>
      <c r="H16" s="6">
        <f>G16*2</f>
        <v>52000</v>
      </c>
      <c r="I16" s="4" t="s">
        <v>21</v>
      </c>
    </row>
    <row r="17" spans="1:9" ht="23.5" customHeight="1" x14ac:dyDescent="0.2">
      <c r="A17" s="10" t="s">
        <v>22</v>
      </c>
      <c r="B17" s="10"/>
      <c r="C17" s="8">
        <f>SUM(C14:C16)</f>
        <v>103000</v>
      </c>
      <c r="D17" s="8">
        <f t="shared" ref="D17:H17" si="3">SUM(D14:D16)</f>
        <v>136000</v>
      </c>
      <c r="E17" s="8">
        <f t="shared" si="3"/>
        <v>143000</v>
      </c>
      <c r="F17" s="8">
        <f t="shared" si="3"/>
        <v>176000</v>
      </c>
      <c r="G17" s="8">
        <f t="shared" si="3"/>
        <v>193000</v>
      </c>
      <c r="H17" s="8">
        <f t="shared" si="3"/>
        <v>226000</v>
      </c>
      <c r="I17" s="5"/>
    </row>
    <row r="18" spans="1:9" ht="23.5" customHeight="1" x14ac:dyDescent="0.2">
      <c r="A18" s="10" t="s">
        <v>23</v>
      </c>
      <c r="B18" s="10"/>
      <c r="C18" s="7">
        <f>C17/33</f>
        <v>3121.212121212121</v>
      </c>
      <c r="D18" s="7">
        <f t="shared" ref="D18" si="4">D17/33</f>
        <v>4121.212121212121</v>
      </c>
      <c r="E18" s="7">
        <f t="shared" ref="E18" si="5">E17/33</f>
        <v>4333.333333333333</v>
      </c>
      <c r="F18" s="7">
        <f t="shared" ref="F18" si="6">F17/33</f>
        <v>5333.333333333333</v>
      </c>
      <c r="G18" s="7">
        <f t="shared" ref="G18" si="7">G17/33</f>
        <v>5848.484848484848</v>
      </c>
      <c r="H18" s="7">
        <f t="shared" ref="H18" si="8">H17/33</f>
        <v>6848.484848484848</v>
      </c>
      <c r="I18" s="5"/>
    </row>
    <row r="19" spans="1:9" ht="23.5" customHeight="1" x14ac:dyDescent="0.2">
      <c r="A19" s="10" t="s">
        <v>24</v>
      </c>
      <c r="B19" s="10"/>
      <c r="C19" s="7">
        <f>ROUND(C18,-2)</f>
        <v>3100</v>
      </c>
      <c r="D19" s="7">
        <f t="shared" ref="D19" si="9">ROUND(D18,-2)</f>
        <v>4100</v>
      </c>
      <c r="E19" s="7">
        <f t="shared" ref="E19" si="10">ROUND(E18,-2)</f>
        <v>4300</v>
      </c>
      <c r="F19" s="7">
        <f t="shared" ref="F19" si="11">ROUND(F18,-2)</f>
        <v>5300</v>
      </c>
      <c r="G19" s="7">
        <f t="shared" ref="G19" si="12">ROUND(G18,-2)</f>
        <v>5800</v>
      </c>
      <c r="H19" s="7">
        <f t="shared" ref="H19" si="13">ROUND(H18,-2)</f>
        <v>6800</v>
      </c>
      <c r="I19" s="5"/>
    </row>
    <row r="20" spans="1:9" x14ac:dyDescent="0.2">
      <c r="B20" t="s">
        <v>26</v>
      </c>
      <c r="C20" s="9">
        <f>(C15+C16)/33</f>
        <v>1000</v>
      </c>
    </row>
  </sheetData>
  <mergeCells count="21">
    <mergeCell ref="A1:I1"/>
    <mergeCell ref="A2:A3"/>
    <mergeCell ref="B2:B3"/>
    <mergeCell ref="C2:D2"/>
    <mergeCell ref="E2:F2"/>
    <mergeCell ref="G2:H2"/>
    <mergeCell ref="I2:I3"/>
    <mergeCell ref="A8:B8"/>
    <mergeCell ref="A9:B9"/>
    <mergeCell ref="A4:A6"/>
    <mergeCell ref="A7:B7"/>
    <mergeCell ref="A12:A13"/>
    <mergeCell ref="B12:B13"/>
    <mergeCell ref="A18:B18"/>
    <mergeCell ref="A19:B19"/>
    <mergeCell ref="G12:H12"/>
    <mergeCell ref="I12:I13"/>
    <mergeCell ref="A14:A16"/>
    <mergeCell ref="A17:B17"/>
    <mergeCell ref="C12:D12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Chanunthorn Raksayot</dc:creator>
  <cp:lastModifiedBy>Treephol  Trakulrungsi</cp:lastModifiedBy>
  <dcterms:created xsi:type="dcterms:W3CDTF">2026-07-04T03:45:56Z</dcterms:created>
  <dcterms:modified xsi:type="dcterms:W3CDTF">2026-07-04T05:40:47Z</dcterms:modified>
</cp:coreProperties>
</file>