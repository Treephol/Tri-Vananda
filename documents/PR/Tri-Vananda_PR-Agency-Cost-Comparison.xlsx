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st Compariso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Tri Vananda</author>
  </authors>
  <commentList>
    <comment ref="C6" authorId="0">
      <text>
        <r>
          <rPr>
            <sz val="10"/>
            <rFont val="Arial"/>
            <family val="2"/>
          </rPr>
          <t xml:space="preserve">Source: VKPR proposal — $5,500/mo all-inclusive</t>
        </r>
      </text>
    </comment>
    <comment ref="D6" authorId="0">
      <text>
        <r>
          <rPr>
            <sz val="10"/>
            <rFont val="Arial"/>
            <family val="2"/>
          </rPr>
          <t xml:space="preserve">Source: J/PR proposal — $6,500 retainer + $195 admin/tech + $165 monitoring = $6,860/mo</t>
        </r>
      </text>
    </comment>
    <comment ref="E6" authorId="0">
      <text>
        <r>
          <rPr>
            <sz val="10"/>
            <rFont val="Arial"/>
            <family val="2"/>
          </rPr>
          <t xml:space="preserve">Source: Relevance International proposal — $8,000/mo for PR services</t>
        </r>
      </text>
    </comment>
  </commentList>
</comments>
</file>

<file path=xl/sharedStrings.xml><?xml version="1.0" encoding="utf-8"?>
<sst xmlns="http://schemas.openxmlformats.org/spreadsheetml/2006/main" count="55" uniqueCount="45">
  <si>
    <t xml:space="preserve">Tri Vananda — PR Agency Annualised Cost Comparison</t>
  </si>
  <si>
    <t xml:space="preserve">Apples-to-apples view · USD · BLUE = editable input · contracted fees per each agency's proposal · variable costs are planning estimates</t>
  </si>
  <si>
    <t xml:space="preserve">1 · CONTRACTED FEES  (confirmed in proposals)</t>
  </si>
  <si>
    <t xml:space="preserve">Cost component</t>
  </si>
  <si>
    <t xml:space="preserve">Source / note</t>
  </si>
  <si>
    <t xml:space="preserve">VKPR</t>
  </si>
  <si>
    <t xml:space="preserve">J/PR</t>
  </si>
  <si>
    <t xml:space="preserve">Relevance Int’l</t>
  </si>
  <si>
    <t xml:space="preserve">Monthly retainer (all-in)</t>
  </si>
  <si>
    <t xml:space="preserve">VKPR all-incl; J/PR incl admin+monitoring; RI PR retainer</t>
  </si>
  <si>
    <t xml:space="preserve">Engagement months / year</t>
  </si>
  <si>
    <t xml:space="preserve">All quote 1-year minimum</t>
  </si>
  <si>
    <t xml:space="preserve">Annual retainer</t>
  </si>
  <si>
    <t xml:space="preserve">Monthly × months</t>
  </si>
  <si>
    <t xml:space="preserve">Fixed annual fees (database / clip / monitoring)</t>
  </si>
  <si>
    <t xml:space="preserve">VKPR ~$400; J/PR already in monthly; RI not specified</t>
  </si>
  <si>
    <t xml:space="preserve">Subtotal — contracted (Year 1)</t>
  </si>
  <si>
    <t xml:space="preserve">2 · ESTIMATED VARIABLE COSTS  (planning assumptions — edit freely)</t>
  </si>
  <si>
    <t xml:space="preserve">OOP expenses / yr</t>
  </si>
  <si>
    <t xml:space="preserve">Media entertainment, materials, shipping (billed at cost)</t>
  </si>
  <si>
    <t xml:space="preserve">Press FAM / media hosting / yr</t>
  </si>
  <si>
    <t xml:space="preserve">Journalist flights &amp; hotels. J/PR staffs 1 FAM in retainer</t>
  </si>
  <si>
    <t xml:space="preserve">Media missions / events / yr</t>
  </si>
  <si>
    <t xml:space="preserve">Scoped separately by all three</t>
  </si>
  <si>
    <t xml:space="preserve">Social / influencer / content add-on / yr</t>
  </si>
  <si>
    <t xml:space="preserve">Capability parity: VKPR via 3rd party; J/PR part-incl; RI in-house</t>
  </si>
  <si>
    <t xml:space="preserve">Subtotal — estimated variable</t>
  </si>
  <si>
    <t xml:space="preserve">3 · ALL-IN ANNUAL TOTALS</t>
  </si>
  <si>
    <t xml:space="preserve">Annual escalation (Year 2)</t>
  </si>
  <si>
    <t xml:space="preserve">Applied to Year 2 only</t>
  </si>
  <si>
    <t xml:space="preserve">Year 1 — all-in</t>
  </si>
  <si>
    <t xml:space="preserve">Contracted + variable</t>
  </si>
  <si>
    <t xml:space="preserve">Year 2 — all-in</t>
  </si>
  <si>
    <t xml:space="preserve">Year 1 × (1 + escalation)</t>
  </si>
  <si>
    <t xml:space="preserve">2-Year all-in total</t>
  </si>
  <si>
    <t xml:space="preserve">Average all-in monthly (Year 1)</t>
  </si>
  <si>
    <t xml:space="preserve">Year 1 ÷ 12</t>
  </si>
  <si>
    <t xml:space="preserve">Reference: contracted-only 2-yr (no variable est.)</t>
  </si>
  <si>
    <t xml:space="preserve">Pure contracted fees × 2 years</t>
  </si>
  <si>
    <t xml:space="preserve">Notes &amp; assumptions:</t>
  </si>
  <si>
    <t xml:space="preserve">• BLUE cells are editable inputs. All other figures are formulas — change an input and totals recalculate.</t>
  </si>
  <si>
    <t xml:space="preserve">• Contracted fees (Section 1) are taken directly from each agency's proposal. Variable costs (Section 2) are illustrative planning estimates, not quotes.</t>
  </si>
  <si>
    <t xml:space="preserve">• Fee bundles differ: VKPR's retainer is PR-only; J/PR's $6,860 already includes admin/tech + media monitoring and one 3-day media FAM/year; RI's $8,000 is PR services with broader disciplines (social, paid, branding, experiential, CRM) scoped separately.</t>
  </si>
  <si>
    <t xml:space="preserve">• The 'Social / influencer / content add-on' line equalises capability so the three are compared on a like-for-like basis; with RI this would be one consolidated invoice, with VKPR likely a separate vendor.</t>
  </si>
  <si>
    <t xml:space="preserve">• Excludes one-off media production, paid advertising spend, and any retainer negotiation. Currency: USD.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</si>
</sst>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;&quot;($&quot;#,##0\);\-"/>
    <numFmt numFmtId="166" formatCode="0.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9.5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9"/>
      <color rgb="FF555555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color rgb="FF1F3A4D"/>
      <name val="Arial"/>
      <family val="0"/>
      <charset val="1"/>
    </font>
    <font>
      <b val="true"/>
      <sz val="9.5"/>
      <color rgb="FF1F3A4D"/>
      <name val="Arial"/>
      <family val="0"/>
      <charset val="1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3A4D"/>
        <bgColor rgb="FF003366"/>
      </patternFill>
    </fill>
    <fill>
      <patternFill patternType="solid">
        <fgColor rgb="FF2E7D74"/>
        <bgColor rgb="FF008080"/>
      </patternFill>
    </fill>
    <fill>
      <patternFill patternType="solid">
        <fgColor rgb="FFEEF3F2"/>
        <bgColor rgb="FFF6F3EC"/>
      </patternFill>
    </fill>
    <fill>
      <patternFill patternType="solid">
        <fgColor rgb="FF9C7C38"/>
        <bgColor rgb="FF808080"/>
      </patternFill>
    </fill>
    <fill>
      <patternFill patternType="solid">
        <fgColor rgb="FFF6F3EC"/>
        <bgColor rgb="FFEEF3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8D2C4"/>
      </left>
      <right style="thin">
        <color rgb="FFD8D2C4"/>
      </right>
      <top style="thin">
        <color rgb="FFD8D2C4"/>
      </top>
      <bottom style="thin">
        <color rgb="FFD8D2C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C7C38"/>
      <rgbColor rgb="FF800080"/>
      <rgbColor rgb="FF008080"/>
      <rgbColor rgb="FFD8D2C4"/>
      <rgbColor rgb="FF808080"/>
      <rgbColor rgb="FF9999FF"/>
      <rgbColor rgb="FF993366"/>
      <rgbColor rgb="FFF6F3EC"/>
      <rgbColor rgb="FFEEF3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2E7D74"/>
      <rgbColor rgb="FF003300"/>
      <rgbColor rgb="FF333300"/>
      <rgbColor rgb="FF993300"/>
      <rgbColor rgb="FF993366"/>
      <rgbColor rgb="FF333399"/>
      <rgbColor rgb="FF1F3A4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40"/>
    <col collapsed="false" customWidth="true" hidden="false" outlineLevel="0" max="4" min="3" style="0" width="15"/>
    <col collapsed="false" customWidth="true" hidden="false" outlineLevel="0" max="5" min="5" style="0" width="17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</row>
    <row r="4" customFormat="false" ht="19.5" hidden="false" customHeight="true" outlineLevel="0" collapsed="false">
      <c r="A4" s="3" t="s">
        <v>2</v>
      </c>
      <c r="B4" s="3"/>
      <c r="C4" s="3"/>
      <c r="D4" s="3"/>
      <c r="E4" s="3"/>
    </row>
    <row r="5" customFormat="false" ht="25.5" hidden="false" customHeight="true" outlineLevel="0" collapsed="false">
      <c r="A5" s="4" t="s">
        <v>3</v>
      </c>
      <c r="B5" s="4" t="s">
        <v>4</v>
      </c>
      <c r="C5" s="5" t="s">
        <v>5</v>
      </c>
      <c r="D5" s="5" t="s">
        <v>6</v>
      </c>
      <c r="E5" s="5" t="s">
        <v>7</v>
      </c>
    </row>
    <row r="6" customFormat="false" ht="15" hidden="false" customHeight="false" outlineLevel="0" collapsed="false">
      <c r="A6" s="6" t="s">
        <v>8</v>
      </c>
      <c r="B6" s="7" t="s">
        <v>9</v>
      </c>
      <c r="C6" s="8" t="n">
        <v>5500</v>
      </c>
      <c r="D6" s="8" t="n">
        <v>6860</v>
      </c>
      <c r="E6" s="8" t="n">
        <v>8000</v>
      </c>
    </row>
    <row r="7" customFormat="false" ht="15" hidden="false" customHeight="false" outlineLevel="0" collapsed="false">
      <c r="A7" s="6" t="s">
        <v>10</v>
      </c>
      <c r="B7" s="7" t="s">
        <v>11</v>
      </c>
      <c r="C7" s="9" t="n">
        <v>12</v>
      </c>
      <c r="D7" s="9" t="n">
        <v>12</v>
      </c>
      <c r="E7" s="9" t="n">
        <v>12</v>
      </c>
    </row>
    <row r="8" customFormat="false" ht="15" hidden="false" customHeight="false" outlineLevel="0" collapsed="false">
      <c r="A8" s="10" t="s">
        <v>12</v>
      </c>
      <c r="B8" s="7" t="s">
        <v>13</v>
      </c>
      <c r="C8" s="11" t="n">
        <f aca="false">C6*C7</f>
        <v>66000</v>
      </c>
      <c r="D8" s="11" t="n">
        <f aca="false">D6*D7</f>
        <v>82320</v>
      </c>
      <c r="E8" s="11" t="n">
        <f aca="false">E6*E7</f>
        <v>96000</v>
      </c>
    </row>
    <row r="9" customFormat="false" ht="22.35" hidden="false" customHeight="false" outlineLevel="0" collapsed="false">
      <c r="A9" s="6" t="s">
        <v>14</v>
      </c>
      <c r="B9" s="12" t="s">
        <v>15</v>
      </c>
      <c r="C9" s="8" t="n">
        <v>400</v>
      </c>
      <c r="D9" s="8" t="n">
        <v>0</v>
      </c>
      <c r="E9" s="8" t="n">
        <v>0</v>
      </c>
    </row>
    <row r="10" customFormat="false" ht="15" hidden="false" customHeight="false" outlineLevel="0" collapsed="false">
      <c r="A10" s="13" t="s">
        <v>16</v>
      </c>
      <c r="B10" s="14"/>
      <c r="C10" s="15" t="n">
        <f aca="false">C8+C9</f>
        <v>66400</v>
      </c>
      <c r="D10" s="15" t="n">
        <f aca="false">D8+D9</f>
        <v>82320</v>
      </c>
      <c r="E10" s="15" t="n">
        <f aca="false">E8+E9</f>
        <v>96000</v>
      </c>
    </row>
    <row r="12" customFormat="false" ht="19.5" hidden="false" customHeight="true" outlineLevel="0" collapsed="false">
      <c r="A12" s="3" t="s">
        <v>17</v>
      </c>
      <c r="B12" s="3"/>
      <c r="C12" s="3"/>
      <c r="D12" s="3"/>
      <c r="E12" s="3"/>
    </row>
    <row r="13" customFormat="false" ht="25.5" hidden="false" customHeight="true" outlineLevel="0" collapsed="false">
      <c r="A13" s="4" t="s">
        <v>3</v>
      </c>
      <c r="B13" s="4" t="s">
        <v>4</v>
      </c>
      <c r="C13" s="5" t="s">
        <v>5</v>
      </c>
      <c r="D13" s="5" t="s">
        <v>6</v>
      </c>
      <c r="E13" s="5" t="s">
        <v>7</v>
      </c>
    </row>
    <row r="14" customFormat="false" ht="21.75" hidden="false" customHeight="true" outlineLevel="0" collapsed="false">
      <c r="A14" s="6" t="s">
        <v>18</v>
      </c>
      <c r="B14" s="12" t="s">
        <v>19</v>
      </c>
      <c r="C14" s="8" t="n">
        <v>12000</v>
      </c>
      <c r="D14" s="8" t="n">
        <v>12000</v>
      </c>
      <c r="E14" s="8" t="n">
        <v>12000</v>
      </c>
    </row>
    <row r="15" customFormat="false" ht="21.75" hidden="false" customHeight="true" outlineLevel="0" collapsed="false">
      <c r="A15" s="6" t="s">
        <v>20</v>
      </c>
      <c r="B15" s="12" t="s">
        <v>21</v>
      </c>
      <c r="C15" s="8" t="n">
        <v>25000</v>
      </c>
      <c r="D15" s="8" t="n">
        <v>25000</v>
      </c>
      <c r="E15" s="8" t="n">
        <v>25000</v>
      </c>
    </row>
    <row r="16" customFormat="false" ht="21.75" hidden="false" customHeight="true" outlineLevel="0" collapsed="false">
      <c r="A16" s="6" t="s">
        <v>22</v>
      </c>
      <c r="B16" s="12" t="s">
        <v>23</v>
      </c>
      <c r="C16" s="8" t="n">
        <v>8000</v>
      </c>
      <c r="D16" s="8" t="n">
        <v>8000</v>
      </c>
      <c r="E16" s="8" t="n">
        <v>8000</v>
      </c>
    </row>
    <row r="17" customFormat="false" ht="21.75" hidden="false" customHeight="true" outlineLevel="0" collapsed="false">
      <c r="A17" s="6" t="s">
        <v>24</v>
      </c>
      <c r="B17" s="12" t="s">
        <v>25</v>
      </c>
      <c r="C17" s="8" t="n">
        <v>30000</v>
      </c>
      <c r="D17" s="8" t="n">
        <v>30000</v>
      </c>
      <c r="E17" s="8" t="n">
        <v>30000</v>
      </c>
    </row>
    <row r="18" customFormat="false" ht="15" hidden="false" customHeight="false" outlineLevel="0" collapsed="false">
      <c r="A18" s="13" t="s">
        <v>26</v>
      </c>
      <c r="B18" s="14"/>
      <c r="C18" s="15" t="n">
        <f aca="false">SUM(C14:C17)</f>
        <v>75000</v>
      </c>
      <c r="D18" s="15" t="n">
        <f aca="false">SUM(D14:D17)</f>
        <v>75000</v>
      </c>
      <c r="E18" s="15" t="n">
        <f aca="false">SUM(E14:E17)</f>
        <v>75000</v>
      </c>
    </row>
    <row r="20" customFormat="false" ht="19.5" hidden="false" customHeight="true" outlineLevel="0" collapsed="false">
      <c r="A20" s="3" t="s">
        <v>27</v>
      </c>
      <c r="B20" s="3"/>
      <c r="C20" s="3"/>
      <c r="D20" s="3"/>
      <c r="E20" s="3"/>
    </row>
    <row r="21" customFormat="false" ht="25.5" hidden="false" customHeight="true" outlineLevel="0" collapsed="false">
      <c r="A21" s="4" t="s">
        <v>3</v>
      </c>
      <c r="B21" s="4" t="s">
        <v>4</v>
      </c>
      <c r="C21" s="5" t="s">
        <v>5</v>
      </c>
      <c r="D21" s="5" t="s">
        <v>6</v>
      </c>
      <c r="E21" s="5" t="s">
        <v>7</v>
      </c>
    </row>
    <row r="22" customFormat="false" ht="15" hidden="false" customHeight="false" outlineLevel="0" collapsed="false">
      <c r="A22" s="6" t="s">
        <v>28</v>
      </c>
      <c r="B22" s="7" t="s">
        <v>29</v>
      </c>
      <c r="C22" s="16" t="n">
        <v>0</v>
      </c>
      <c r="D22" s="16" t="n">
        <v>0</v>
      </c>
      <c r="E22" s="16" t="n">
        <v>0</v>
      </c>
    </row>
    <row r="23" customFormat="false" ht="15" hidden="false" customHeight="false" outlineLevel="0" collapsed="false">
      <c r="A23" s="10" t="s">
        <v>30</v>
      </c>
      <c r="B23" s="7" t="s">
        <v>31</v>
      </c>
      <c r="C23" s="11" t="n">
        <f aca="false">C10+C18</f>
        <v>141400</v>
      </c>
      <c r="D23" s="11" t="n">
        <f aca="false">D10+D18</f>
        <v>157320</v>
      </c>
      <c r="E23" s="11" t="n">
        <f aca="false">E10+E18</f>
        <v>171000</v>
      </c>
    </row>
    <row r="24" customFormat="false" ht="15" hidden="false" customHeight="false" outlineLevel="0" collapsed="false">
      <c r="A24" s="10" t="s">
        <v>32</v>
      </c>
      <c r="B24" s="7" t="s">
        <v>33</v>
      </c>
      <c r="C24" s="11" t="n">
        <f aca="false">C23*(1+C22)</f>
        <v>141400</v>
      </c>
      <c r="D24" s="11" t="n">
        <f aca="false">D23*(1+D22)</f>
        <v>157320</v>
      </c>
      <c r="E24" s="11" t="n">
        <f aca="false">E23*(1+E22)</f>
        <v>171000</v>
      </c>
    </row>
    <row r="25" customFormat="false" ht="15" hidden="false" customHeight="false" outlineLevel="0" collapsed="false">
      <c r="A25" s="17" t="s">
        <v>34</v>
      </c>
      <c r="B25" s="18"/>
      <c r="C25" s="19" t="n">
        <f aca="false">C23+C24</f>
        <v>282800</v>
      </c>
      <c r="D25" s="19" t="n">
        <f aca="false">D23+D24</f>
        <v>314640</v>
      </c>
      <c r="E25" s="19" t="n">
        <f aca="false">E23+E24</f>
        <v>342000</v>
      </c>
    </row>
    <row r="26" customFormat="false" ht="15" hidden="false" customHeight="false" outlineLevel="0" collapsed="false">
      <c r="A26" s="6" t="s">
        <v>35</v>
      </c>
      <c r="B26" s="7" t="s">
        <v>36</v>
      </c>
      <c r="C26" s="20" t="n">
        <f aca="false">C23/12</f>
        <v>11783.3333333333</v>
      </c>
      <c r="D26" s="20" t="n">
        <f aca="false">D23/12</f>
        <v>13110</v>
      </c>
      <c r="E26" s="20" t="n">
        <f aca="false">E23/12</f>
        <v>14250</v>
      </c>
    </row>
    <row r="28" customFormat="false" ht="15" hidden="false" customHeight="false" outlineLevel="0" collapsed="false">
      <c r="A28" s="21" t="s">
        <v>37</v>
      </c>
      <c r="B28" s="22" t="s">
        <v>38</v>
      </c>
      <c r="C28" s="23" t="n">
        <f aca="false">C10*(2+C22)</f>
        <v>132800</v>
      </c>
      <c r="D28" s="23" t="n">
        <f aca="false">D10*(2+D22)</f>
        <v>164640</v>
      </c>
      <c r="E28" s="23" t="n">
        <f aca="false">E10*(2+E22)</f>
        <v>192000</v>
      </c>
    </row>
    <row r="30" customFormat="false" ht="13.5" hidden="false" customHeight="true" outlineLevel="0" collapsed="false">
      <c r="A30" s="24" t="s">
        <v>39</v>
      </c>
      <c r="B30" s="24"/>
      <c r="C30" s="24"/>
      <c r="D30" s="24"/>
      <c r="E30" s="24"/>
    </row>
    <row r="31" customFormat="false" ht="15.75" hidden="false" customHeight="true" outlineLevel="0" collapsed="false">
      <c r="A31" s="25" t="s">
        <v>40</v>
      </c>
      <c r="B31" s="25"/>
      <c r="C31" s="25"/>
      <c r="D31" s="25"/>
      <c r="E31" s="25"/>
    </row>
    <row r="32" customFormat="false" ht="27.75" hidden="false" customHeight="true" outlineLevel="0" collapsed="false">
      <c r="A32" s="25" t="s">
        <v>41</v>
      </c>
      <c r="B32" s="25"/>
      <c r="C32" s="25"/>
      <c r="D32" s="25"/>
      <c r="E32" s="25"/>
    </row>
    <row r="33" customFormat="false" ht="27.75" hidden="false" customHeight="true" outlineLevel="0" collapsed="false">
      <c r="A33" s="25" t="s">
        <v>42</v>
      </c>
      <c r="B33" s="25"/>
      <c r="C33" s="25"/>
      <c r="D33" s="25"/>
      <c r="E33" s="25"/>
    </row>
    <row r="34" customFormat="false" ht="27.75" hidden="false" customHeight="true" outlineLevel="0" collapsed="false">
      <c r="A34" s="25" t="s">
        <v>43</v>
      </c>
      <c r="B34" s="25"/>
      <c r="C34" s="25"/>
      <c r="D34" s="25"/>
      <c r="E34" s="25"/>
    </row>
    <row r="35" customFormat="false" ht="15.75" hidden="false" customHeight="true" outlineLevel="0" collapsed="false">
      <c r="A35" s="25" t="s">
        <v>44</v>
      </c>
      <c r="B35" s="25"/>
      <c r="C35" s="25"/>
      <c r="D35" s="25"/>
      <c r="E35" s="25"/>
    </row>
  </sheetData>
  <mergeCells count="11">
    <mergeCell ref="A1:E1"/>
    <mergeCell ref="A2:E2"/>
    <mergeCell ref="A4:E4"/>
    <mergeCell ref="A12:E12"/>
    <mergeCell ref="A20:E20"/>
    <mergeCell ref="A30:E30"/>
    <mergeCell ref="A31:E31"/>
    <mergeCell ref="A32:E32"/>
    <mergeCell ref="A33:E33"/>
    <mergeCell ref="A34:E34"/>
    <mergeCell ref="A35:E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2026-06-29T05:31:54Z</dcterms:created>
  <dc:creator>openpyxl</dc:creator>
  <dc:description/>
  <dc:language>en-US</dc:language>
  <cp:lastModifiedBy/>
  <dcterms:modified xsi:type="dcterms:W3CDTF">2026-06-29T05:31:54Z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